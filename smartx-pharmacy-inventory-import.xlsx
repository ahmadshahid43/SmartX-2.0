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164ca9a56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Import" sheetId="1" r:id="Rcb9125a8e3b9427f"/>
    <x:sheet xmlns:r="http://schemas.openxmlformats.org/officeDocument/2006/relationships" name="Catalog Summary" sheetId="2" r:id="Re1ad1f8766f8481f"/>
    <x:sheet xmlns:r="http://schemas.openxmlformats.org/officeDocument/2006/relationships" name="Source Notes" sheetId="3" r:id="R168483228f5b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PKR&quot; #,##0.00"/>
    <x:numFmt numFmtId="201" formatCode="#,##0"/>
    <x:numFmt numFmtId="202" formatCode="@"/>
    <x:numFmt numFmtId="203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b/>
      <x:sz val="11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14532D"/>
      </x:patternFill>
    </x:fill>
  </x:fills>
  <x:borders count="3">
    <x:border/>
    <x:border>
      <x:left style="thin">
        <x:color rgb="FFD7E3F0"/>
      </x:left>
      <x:right style="thin">
        <x:color rgb="FFD7E3F0"/>
      </x:right>
      <x:top style="thin">
        <x:color rgb="FFD7E3F0"/>
      </x:top>
      <x:bottom style="thin">
        <x:color rgb="FFD7E3F0"/>
      </x:bottom>
    </x:border>
    <x:border>
      <x:left style="thin">
        <x:color rgb="FFE5EEF6"/>
      </x:left>
      <x:right style="thin">
        <x:color rgb="FFE5EEF6"/>
      </x:right>
      <x:top style="thin">
        <x:color rgb="FFE5EEF6"/>
      </x:top>
      <x:bottom style="thin">
        <x:color rgb="FFE5EEF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C2410C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98835aafe4223" /><Relationship Type="http://schemas.openxmlformats.org/officeDocument/2006/relationships/theme" Target="/xl/theme/theme1.xml" Id="R198e97c4f992456d" /><Relationship Type="http://schemas.openxmlformats.org/officeDocument/2006/relationships/sharedStrings" Target="/xl/sharedStrings.xml" Id="R3b3ceab4959c4d3c" /><Relationship Type="http://schemas.openxmlformats.org/officeDocument/2006/relationships/worksheet" Target="/xl/worksheets/sheet1.xml" Id="Rcb9125a8e3b9427f" /><Relationship Type="http://schemas.openxmlformats.org/officeDocument/2006/relationships/worksheet" Target="/xl/worksheets/sheet2.xml" Id="Re1ad1f8766f8481f" /><Relationship Type="http://schemas.openxmlformats.org/officeDocument/2006/relationships/worksheet" Target="/xl/worksheets/sheet3.xml" Id="R168483228f5b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14" hidden="0" customWidth="1"/>
    <x:col min="5" max="5" width="18" hidden="0" customWidth="1"/>
    <x:col min="6" max="6" width="10" hidden="0" customWidth="1"/>
    <x:col min="7" max="7" width="10" hidden="0" customWidth="1"/>
    <x:col min="8" max="8" width="13" hidden="0" customWidth="1"/>
    <x:col min="9" max="9" width="11" hidden="0" customWidth="1"/>
    <x:col min="10" max="10" width="12" hidden="0" customWidth="1"/>
    <x:col min="11" max="11" width="12" hidden="0" customWidth="1"/>
    <x:col min="12" max="12" width="18" hidden="0" customWidth="1"/>
    <x:col min="13" max="13" width="14" hidden="0" customWidth="1"/>
    <x:col min="14" max="14" width="13" hidden="0" customWidth="1"/>
    <x:col min="15" max="15" width="14" hidden="0" customWidth="1"/>
    <x:col min="16" max="16" width="28" hidden="0" customWidth="1"/>
    <x:col min="17" max="17" width="28" hidden="0" customWidth="1"/>
    <x:col min="18" max="18" width="42" hidden="0" customWidth="1"/>
    <x:col min="19" max="19" width="16" hidden="0" customWidth="1"/>
    <x:col min="20" max="20" width="46" hidden="0" customWidth="1"/>
    <x:col min="21" max="21" width="14" hidden="0" customWidth="1"/>
  </x:cols>
  <x:sheetData>
    <x:row r="1" ht="28" customHeight="1">
      <x:c r="A1" s="6" t="str">
        <x:v>SKU</x:v>
      </x:c>
      <x:c r="B1" s="6" t="str">
        <x:v>Name</x:v>
      </x:c>
      <x:c r="C1" s="6" t="str">
        <x:v>Category</x:v>
      </x:c>
      <x:c r="D1" s="6" t="str">
        <x:v>Unit Price</x:v>
      </x:c>
      <x:c r="E1" s="6" t="str">
        <x:v>Warehouse</x:v>
      </x:c>
      <x:c r="F1" s="6" t="str">
        <x:v>In Hand</x:v>
      </x:c>
      <x:c r="G1" s="6" t="str">
        <x:v>Reserved</x:v>
      </x:c>
      <x:c r="H1" s="6" t="str">
        <x:v>Reorder Level</x:v>
      </x:c>
      <x:c r="I1" s="6" t="str">
        <x:v>Is Favorite</x:v>
      </x:c>
      <x:c r="J1" s="6" t="str">
        <x:v>Is Quick Sale</x:v>
      </x:c>
      <x:c r="K1" s="6" t="str">
        <x:v>Visual Code</x:v>
      </x:c>
      <x:c r="L1" s="6" t="str">
        <x:v>Barcode</x:v>
      </x:c>
      <x:c r="M1" s="6" t="str">
        <x:v>Batch No</x:v>
      </x:c>
      <x:c r="N1" s="6" t="str">
        <x:v>Expiry Date</x:v>
      </x:c>
      <x:c r="O1" s="6" t="str">
        <x:v>Pack Size</x:v>
      </x:c>
      <x:c r="P1" s="6" t="str">
        <x:v>Manufacturer</x:v>
      </x:c>
      <x:c r="Q1" s="6" t="str">
        <x:v>Supplier</x:v>
      </x:c>
      <x:c r="R1" s="6" t="str">
        <x:v>Source URL</x:v>
      </x:c>
      <x:c r="S1" s="6" t="str">
        <x:v>Price Checked On</x:v>
      </x:c>
      <x:c r="T1" s="6" t="str">
        <x:v>Pricing Note</x:v>
      </x:c>
      <x:c r="U1" s="6" t="str">
        <x:v>Stock Value</x:v>
      </x:c>
    </x:row>
    <x:row r="2">
      <x:c r="A2" s="8" t="str">
        <x:v>PHR-PAIN-001</x:v>
      </x:c>
      <x:c r="B2" s="8" t="str">
        <x:v>Panadol Tab 500mg 10's</x:v>
      </x:c>
      <x:c r="C2" s="8" t="str">
        <x:v>Pain &amp; Fever</x:v>
      </x:c>
      <x:c r="D2" s="9" t="n">
        <x:v>40</x:v>
      </x:c>
      <x:c r="E2" s="8" t="str">
        <x:v>Main Warehouse</x:v>
      </x:c>
      <x:c r="F2" s="10" t="n">
        <x:v>48</x:v>
      </x:c>
      <x:c r="G2" s="10" t="n">
        <x:v>3</x:v>
      </x:c>
      <x:c r="H2" s="10" t="n">
        <x:v>15</x:v>
      </x:c>
      <x:c r="I2" s="8" t="str">
        <x:v>Yes</x:v>
      </x:c>
      <x:c r="J2" s="8" t="str">
        <x:v>Yes</x:v>
      </x:c>
      <x:c r="K2" s="8" t="str">
        <x:v>PAN500</x:v>
      </x:c>
      <x:c r="L2" s="11" t="str">
        <x:v>8906110000001</x:v>
      </x:c>
      <x:c r="M2" s="8" t="str">
        <x:v>B250801</x:v>
      </x:c>
      <x:c r="N2" s="12" t="n">
        <x:v>46660</x:v>
      </x:c>
      <x:c r="O2" s="8" t="str">
        <x:v>10's</x:v>
      </x:c>
      <x:c r="P2" s="8" t="str">
        <x:v>GSK Consumer Healthcare</x:v>
      </x:c>
      <x:c r="Q2" s="8" t="str">
        <x:v>GSK Consumer Healthcare</x:v>
      </x:c>
      <x:c r="R2" s="13" t="str">
        <x:v>https://sehat.com.pk/products/Panadol-Tab-500mg-10%27s.html</x:v>
      </x:c>
      <x:c r="S2" s="12" t="n">
        <x:v>46259</x:v>
      </x:c>
      <x:c r="T2" s="14" t="str">
        <x:v>Price is source-backed; stock, batch, barcode, and expiry fields are testing values.</x:v>
      </x:c>
      <x:c r="U2" s="9" t="n">
        <x:f>D2*F2</x:f>
        <x:v>1920</x:v>
      </x:c>
    </x:row>
    <x:row r="3">
      <x:c r="A3" s="8" t="str">
        <x:v>PHR-PAIN-002</x:v>
      </x:c>
      <x:c r="B3" s="8" t="str">
        <x:v>Panadol Extend Tab 665mg 20's</x:v>
      </x:c>
      <x:c r="C3" s="8" t="str">
        <x:v>Pain &amp; Fever</x:v>
      </x:c>
      <x:c r="D3" s="9" t="n">
        <x:v>121.62</x:v>
      </x:c>
      <x:c r="E3" s="8" t="str">
        <x:v>Main Warehouse</x:v>
      </x:c>
      <x:c r="F3" s="10" t="n">
        <x:v>22</x:v>
      </x:c>
      <x:c r="G3" s="10" t="n">
        <x:v>1</x:v>
      </x:c>
      <x:c r="H3" s="10" t="n">
        <x:v>8</x:v>
      </x:c>
      <x:c r="I3" s="8" t="str">
        <x:v>Yes</x:v>
      </x:c>
      <x:c r="J3" s="8" t="str">
        <x:v>Yes</x:v>
      </x:c>
      <x:c r="K3" s="8" t="str">
        <x:v>PAN665</x:v>
      </x:c>
      <x:c r="L3" s="11" t="str">
        <x:v>8906110000002</x:v>
      </x:c>
      <x:c r="M3" s="8" t="str">
        <x:v>B250802</x:v>
      </x:c>
      <x:c r="N3" s="12" t="n">
        <x:v>46783</x:v>
      </x:c>
      <x:c r="O3" s="8" t="str">
        <x:v>20's</x:v>
      </x:c>
      <x:c r="P3" s="8" t="str">
        <x:v>GSK Consumer Healthcare</x:v>
      </x:c>
      <x:c r="Q3" s="8" t="str">
        <x:v>GSK Consumer Healthcare</x:v>
      </x:c>
      <x:c r="R3" s="13" t="str">
        <x:v>https://sehat.com.pk/products/Panadol-Extend-Tab-665mg-20%27s.html</x:v>
      </x:c>
      <x:c r="S3" s="12" t="n">
        <x:v>46259</x:v>
      </x:c>
      <x:c r="T3" s="14" t="str">
        <x:v>Price is source-backed; stock, batch, barcode, and expiry fields are testing values.</x:v>
      </x:c>
      <x:c r="U3" s="9" t="n">
        <x:f>D3*F3</x:f>
        <x:v>2675.6400000000003</x:v>
      </x:c>
    </x:row>
    <x:row r="4">
      <x:c r="A4" s="8" t="str">
        <x:v>PHR-PAIN-003</x:v>
      </x:c>
      <x:c r="B4" s="8" t="str">
        <x:v>Panadol Forte Susp 90ml</x:v>
      </x:c>
      <x:c r="C4" s="8" t="str">
        <x:v>Pain &amp; Fever</x:v>
      </x:c>
      <x:c r="D4" s="9" t="n">
        <x:v>98.92</x:v>
      </x:c>
      <x:c r="E4" s="8" t="str">
        <x:v>Main Warehouse</x:v>
      </x:c>
      <x:c r="F4" s="10" t="n">
        <x:v>18</x:v>
      </x:c>
      <x:c r="G4" s="10" t="n">
        <x:v>1</x:v>
      </x:c>
      <x:c r="H4" s="10" t="n">
        <x:v>6</x:v>
      </x:c>
      <x:c r="I4" s="8" t="str">
        <x:v>No</x:v>
      </x:c>
      <x:c r="J4" s="8" t="str">
        <x:v>Yes</x:v>
      </x:c>
      <x:c r="K4" s="8" t="str">
        <x:v>PANF90</x:v>
      </x:c>
      <x:c r="L4" s="11" t="str">
        <x:v>8906110000003</x:v>
      </x:c>
      <x:c r="M4" s="8" t="str">
        <x:v>B250803</x:v>
      </x:c>
      <x:c r="N4" s="12" t="n">
        <x:v>46752</x:v>
      </x:c>
      <x:c r="O4" s="8" t="str">
        <x:v>90ml</x:v>
      </x:c>
      <x:c r="P4" s="8" t="str">
        <x:v>GSK Consumer Healthcare</x:v>
      </x:c>
      <x:c r="Q4" s="8" t="str">
        <x:v>GSK Consumer Healthcare</x:v>
      </x:c>
      <x:c r="R4" s="13" t="str">
        <x:v>https://sehat.com.pk/manufacturers/GSK-Consumer-Healthcare.html</x:v>
      </x:c>
      <x:c r="S4" s="12" t="n">
        <x:v>46259</x:v>
      </x:c>
      <x:c r="T4" s="14" t="str">
        <x:v>Price is source-backed; stock, batch, barcode, and expiry fields are testing values.</x:v>
      </x:c>
      <x:c r="U4" s="9" t="n">
        <x:f>D4*F4</x:f>
        <x:v>1780.56</x:v>
      </x:c>
    </x:row>
    <x:row r="5">
      <x:c r="A5" s="8" t="str">
        <x:v>PHR-PAIN-004</x:v>
      </x:c>
      <x:c r="B5" s="8" t="str">
        <x:v>Panadol Liq 160mg 120ml</x:v>
      </x:c>
      <x:c r="C5" s="8" t="str">
        <x:v>Pain &amp; Fever</x:v>
      </x:c>
      <x:c r="D5" s="9" t="n">
        <x:v>134.06</x:v>
      </x:c>
      <x:c r="E5" s="8" t="str">
        <x:v>Main Warehouse</x:v>
      </x:c>
      <x:c r="F5" s="10" t="n">
        <x:v>16</x:v>
      </x:c>
      <x:c r="G5" s="10" t="n">
        <x:v>0</x:v>
      </x:c>
      <x:c r="H5" s="10" t="n">
        <x:v>5</x:v>
      </x:c>
      <x:c r="I5" s="8" t="str">
        <x:v>No</x:v>
      </x:c>
      <x:c r="J5" s="8" t="str">
        <x:v>Yes</x:v>
      </x:c>
      <x:c r="K5" s="8" t="str">
        <x:v>PANL12</x:v>
      </x:c>
      <x:c r="L5" s="11" t="str">
        <x:v>8906110000004</x:v>
      </x:c>
      <x:c r="M5" s="8" t="str">
        <x:v>B250804</x:v>
      </x:c>
      <x:c r="N5" s="12" t="n">
        <x:v>46721</x:v>
      </x:c>
      <x:c r="O5" s="8" t="str">
        <x:v>120ml</x:v>
      </x:c>
      <x:c r="P5" s="8" t="str">
        <x:v>GSK Consumer Healthcare</x:v>
      </x:c>
      <x:c r="Q5" s="8" t="str">
        <x:v>GSK Consumer Healthcare</x:v>
      </x:c>
      <x:c r="R5" s="13" t="str">
        <x:v>https://sehat.com.pk/manufacturers/GSK-Consumer-Healthcare.html?page=5</x:v>
      </x:c>
      <x:c r="S5" s="12" t="n">
        <x:v>46259</x:v>
      </x:c>
      <x:c r="T5" s="14" t="str">
        <x:v>Price is source-backed; stock, batch, barcode, and expiry fields are testing values.</x:v>
      </x:c>
      <x:c r="U5" s="9" t="n">
        <x:f>D5*F5</x:f>
        <x:v>2144.96</x:v>
      </x:c>
    </x:row>
    <x:row r="6">
      <x:c r="A6" s="8" t="str">
        <x:v>PHR-PAIN-005</x:v>
      </x:c>
      <x:c r="B6" s="8" t="str">
        <x:v>Brufen Tab 600mg 1x12's</x:v>
      </x:c>
      <x:c r="C6" s="8" t="str">
        <x:v>Pain &amp; Fever</x:v>
      </x:c>
      <x:c r="D6" s="9" t="n">
        <x:v>64.42</x:v>
      </x:c>
      <x:c r="E6" s="8" t="str">
        <x:v>Main Warehouse</x:v>
      </x:c>
      <x:c r="F6" s="10" t="n">
        <x:v>30</x:v>
      </x:c>
      <x:c r="G6" s="10" t="n">
        <x:v>2</x:v>
      </x:c>
      <x:c r="H6" s="10" t="n">
        <x:v>10</x:v>
      </x:c>
      <x:c r="I6" s="8" t="str">
        <x:v>Yes</x:v>
      </x:c>
      <x:c r="J6" s="8" t="str">
        <x:v>Yes</x:v>
      </x:c>
      <x:c r="K6" s="8" t="str">
        <x:v>BRUF60</x:v>
      </x:c>
      <x:c r="L6" s="11" t="str">
        <x:v>8906110000005</x:v>
      </x:c>
      <x:c r="M6" s="8" t="str">
        <x:v>B250805</x:v>
      </x:c>
      <x:c r="N6" s="12" t="n">
        <x:v>46812</x:v>
      </x:c>
      <x:c r="O6" s="8" t="str">
        <x:v>1x12's</x:v>
      </x:c>
      <x:c r="P6" s="8" t="str">
        <x:v>Abbott Laboratories (Pakistan) Ltd.</x:v>
      </x:c>
      <x:c r="Q6" s="8" t="str">
        <x:v>Abbott Laboratories (Pakistan) Ltd.</x:v>
      </x:c>
      <x:c r="R6" s="13" t="str">
        <x:v>https://sehat.com.pk/categories/Over-The-Counter-Drugs/Pain/?page=2</x:v>
      </x:c>
      <x:c r="S6" s="12" t="n">
        <x:v>46259</x:v>
      </x:c>
      <x:c r="T6" s="14" t="str">
        <x:v>Price is source-backed; stock, batch, barcode, and expiry fields are testing values.</x:v>
      </x:c>
      <x:c r="U6" s="9" t="n">
        <x:f>D6*F6</x:f>
        <x:v>1932.6000000000001</x:v>
      </x:c>
    </x:row>
    <x:row r="7">
      <x:c r="A7" s="8" t="str">
        <x:v>PHR-PAIN-006</x:v>
      </x:c>
      <x:c r="B7" s="8" t="str">
        <x:v>Ponstan Forte Tab 500mg 10's</x:v>
      </x:c>
      <x:c r="C7" s="8" t="str">
        <x:v>Pain &amp; Fever</x:v>
      </x:c>
      <x:c r="D7" s="9" t="n">
        <x:v>43.29</x:v>
      </x:c>
      <x:c r="E7" s="8" t="str">
        <x:v>Main Warehouse</x:v>
      </x:c>
      <x:c r="F7" s="10" t="n">
        <x:v>34</x:v>
      </x:c>
      <x:c r="G7" s="10" t="n">
        <x:v>2</x:v>
      </x:c>
      <x:c r="H7" s="10" t="n">
        <x:v>12</x:v>
      </x:c>
      <x:c r="I7" s="8" t="str">
        <x:v>Yes</x:v>
      </x:c>
      <x:c r="J7" s="8" t="str">
        <x:v>Yes</x:v>
      </x:c>
      <x:c r="K7" s="8" t="str">
        <x:v>PON500</x:v>
      </x:c>
      <x:c r="L7" s="11" t="str">
        <x:v>8906110000006</x:v>
      </x:c>
      <x:c r="M7" s="8" t="str">
        <x:v>B250806</x:v>
      </x:c>
      <x:c r="N7" s="12" t="n">
        <x:v>46843</x:v>
      </x:c>
      <x:c r="O7" s="8" t="str">
        <x:v>10's</x:v>
      </x:c>
      <x:c r="P7" s="8" t="str">
        <x:v>Pfizer Pakistan</x:v>
      </x:c>
      <x:c r="Q7" s="8" t="str">
        <x:v>Pfizer Pakistan</x:v>
      </x:c>
      <x:c r="R7" s="13" t="str">
        <x:v>https://sehat.com.pk/manufacturers/Pfizer-Pakistan-.html</x:v>
      </x:c>
      <x:c r="S7" s="12" t="n">
        <x:v>46259</x:v>
      </x:c>
      <x:c r="T7" s="14" t="str">
        <x:v>Price is source-backed; stock, batch, barcode, and expiry fields are testing values.</x:v>
      </x:c>
      <x:c r="U7" s="9" t="n">
        <x:f>D7*F7</x:f>
        <x:v>1471.86</x:v>
      </x:c>
    </x:row>
    <x:row r="8">
      <x:c r="A8" s="8" t="str">
        <x:v>PHR-PAIN-007</x:v>
      </x:c>
      <x:c r="B8" s="8" t="str">
        <x:v>Ponstan Tab 250mg 10's</x:v>
      </x:c>
      <x:c r="C8" s="8" t="str">
        <x:v>Pain &amp; Fever</x:v>
      </x:c>
      <x:c r="D8" s="9" t="n">
        <x:v>25.72</x:v>
      </x:c>
      <x:c r="E8" s="8" t="str">
        <x:v>Main Warehouse</x:v>
      </x:c>
      <x:c r="F8" s="10" t="n">
        <x:v>26</x:v>
      </x:c>
      <x:c r="G8" s="10" t="n">
        <x:v>1</x:v>
      </x:c>
      <x:c r="H8" s="10" t="n">
        <x:v>10</x:v>
      </x:c>
      <x:c r="I8" s="8" t="str">
        <x:v>No</x:v>
      </x:c>
      <x:c r="J8" s="8" t="str">
        <x:v>Yes</x:v>
      </x:c>
      <x:c r="K8" s="8" t="str">
        <x:v>PON250</x:v>
      </x:c>
      <x:c r="L8" s="11" t="str">
        <x:v>8906110000007</x:v>
      </x:c>
      <x:c r="M8" s="8" t="str">
        <x:v>B250807</x:v>
      </x:c>
      <x:c r="N8" s="12" t="n">
        <x:v>46691</x:v>
      </x:c>
      <x:c r="O8" s="8" t="str">
        <x:v>10's</x:v>
      </x:c>
      <x:c r="P8" s="8" t="str">
        <x:v>Pfizer Pakistan</x:v>
      </x:c>
      <x:c r="Q8" s="8" t="str">
        <x:v>Pfizer Pakistan</x:v>
      </x:c>
      <x:c r="R8" s="13" t="str">
        <x:v>https://sehat.com.pk/manufacturers/Pfizer-Pakistan-.html</x:v>
      </x:c>
      <x:c r="S8" s="12" t="n">
        <x:v>46259</x:v>
      </x:c>
      <x:c r="T8" s="14" t="str">
        <x:v>Price is source-backed; stock, batch, barcode, and expiry fields are testing values.</x:v>
      </x:c>
      <x:c r="U8" s="9" t="n">
        <x:f>D8*F8</x:f>
        <x:v>668.72</x:v>
      </x:c>
    </x:row>
    <x:row r="9">
      <x:c r="A9" s="8" t="str">
        <x:v>PHR-ANTB-001</x:v>
      </x:c>
      <x:c r="B9" s="8" t="str">
        <x:v>AUGMENTIN Tab 625mg 6's</x:v>
      </x:c>
      <x:c r="C9" s="8" t="str">
        <x:v>Antibiotic</x:v>
      </x:c>
      <x:c r="D9" s="9" t="n">
        <x:v>260.57</x:v>
      </x:c>
      <x:c r="E9" s="8" t="str">
        <x:v>Main Warehouse</x:v>
      </x:c>
      <x:c r="F9" s="10" t="n">
        <x:v>14</x:v>
      </x:c>
      <x:c r="G9" s="10" t="n">
        <x:v>2</x:v>
      </x:c>
      <x:c r="H9" s="10" t="n">
        <x:v>6</x:v>
      </x:c>
      <x:c r="I9" s="8" t="str">
        <x:v>Yes</x:v>
      </x:c>
      <x:c r="J9" s="8" t="str">
        <x:v>Yes</x:v>
      </x:c>
      <x:c r="K9" s="8" t="str">
        <x:v>AUG625</x:v>
      </x:c>
      <x:c r="L9" s="11" t="str">
        <x:v>8906110000008</x:v>
      </x:c>
      <x:c r="M9" s="8" t="str">
        <x:v>B250808</x:v>
      </x:c>
      <x:c r="N9" s="12" t="n">
        <x:v>46630</x:v>
      </x:c>
      <x:c r="O9" s="8" t="str">
        <x:v>6's</x:v>
      </x:c>
      <x:c r="P9" s="8" t="str">
        <x:v>Glaxosmithkline Pakistan Limited</x:v>
      </x:c>
      <x:c r="Q9" s="8" t="str">
        <x:v>Glaxosmithkline Pakistan Limited</x:v>
      </x:c>
      <x:c r="R9" s="13" t="str">
        <x:v>https://sehat.com.pk/products/Augmentin-Tab-625mg-6%27s.html</x:v>
      </x:c>
      <x:c r="S9" s="12" t="n">
        <x:v>46259</x:v>
      </x:c>
      <x:c r="T9" s="14" t="str">
        <x:v>Price is source-backed; stock, batch, barcode, and expiry fields are testing values.</x:v>
      </x:c>
      <x:c r="U9" s="9" t="n">
        <x:f>D9*F9</x:f>
        <x:v>3647.98</x:v>
      </x:c>
    </x:row>
    <x:row r="10">
      <x:c r="A10" s="8" t="str">
        <x:v>PHR-ANTB-002</x:v>
      </x:c>
      <x:c r="B10" s="8" t="str">
        <x:v>Augmentin Susp 312.5mg/5ml 90ml</x:v>
      </x:c>
      <x:c r="C10" s="8" t="str">
        <x:v>Antibiotic</x:v>
      </x:c>
      <x:c r="D10" s="9" t="n">
        <x:v>356.33</x:v>
      </x:c>
      <x:c r="E10" s="8" t="str">
        <x:v>Main Warehouse</x:v>
      </x:c>
      <x:c r="F10" s="10" t="n">
        <x:v>9</x:v>
      </x:c>
      <x:c r="G10" s="10" t="n">
        <x:v>1</x:v>
      </x:c>
      <x:c r="H10" s="10" t="n">
        <x:v>4</x:v>
      </x:c>
      <x:c r="I10" s="8" t="str">
        <x:v>No</x:v>
      </x:c>
      <x:c r="J10" s="8" t="str">
        <x:v>Yes</x:v>
      </x:c>
      <x:c r="K10" s="8" t="str">
        <x:v>AUGS90</x:v>
      </x:c>
      <x:c r="L10" s="11" t="str">
        <x:v>8906110000009</x:v>
      </x:c>
      <x:c r="M10" s="8" t="str">
        <x:v>B250809</x:v>
      </x:c>
      <x:c r="N10" s="12" t="n">
        <x:v>46599</x:v>
      </x:c>
      <x:c r="O10" s="8" t="str">
        <x:v>90ml</x:v>
      </x:c>
      <x:c r="P10" s="8" t="str">
        <x:v>Glaxosmithkline</x:v>
      </x:c>
      <x:c r="Q10" s="8" t="str">
        <x:v>Glaxosmithkline</x:v>
      </x:c>
      <x:c r="R10" s="13" t="str">
        <x:v>https://sehat.com.pk/categories/Prescription-Drugs-/Infections/Bacterial-infections/Penicillins/</x:v>
      </x:c>
      <x:c r="S10" s="12" t="n">
        <x:v>46259</x:v>
      </x:c>
      <x:c r="T10" s="14" t="str">
        <x:v>Price is source-backed; stock, batch, barcode, and expiry fields are testing values.</x:v>
      </x:c>
      <x:c r="U10" s="9" t="n">
        <x:f>D10*F10</x:f>
        <x:v>3206.97</x:v>
      </x:c>
    </x:row>
    <x:row r="11">
      <x:c r="A11" s="8" t="str">
        <x:v>PHR-INF-001</x:v>
      </x:c>
      <x:c r="B11" s="8" t="str">
        <x:v>Flagyl Tab 400mg 10's</x:v>
      </x:c>
      <x:c r="C11" s="8" t="str">
        <x:v>Infection</x:v>
      </x:c>
      <x:c r="D11" s="9" t="n">
        <x:v>43.2</x:v>
      </x:c>
      <x:c r="E11" s="8" t="str">
        <x:v>Main Warehouse</x:v>
      </x:c>
      <x:c r="F11" s="10" t="n">
        <x:v>20</x:v>
      </x:c>
      <x:c r="G11" s="10" t="n">
        <x:v>1</x:v>
      </x:c>
      <x:c r="H11" s="10" t="n">
        <x:v>8</x:v>
      </x:c>
      <x:c r="I11" s="8" t="str">
        <x:v>No</x:v>
      </x:c>
      <x:c r="J11" s="8" t="str">
        <x:v>Yes</x:v>
      </x:c>
      <x:c r="K11" s="8" t="str">
        <x:v>FLG400</x:v>
      </x:c>
      <x:c r="L11" s="11" t="str">
        <x:v>8906110000010</x:v>
      </x:c>
      <x:c r="M11" s="8" t="str">
        <x:v>B250810</x:v>
      </x:c>
      <x:c r="N11" s="12" t="n">
        <x:v>46873</x:v>
      </x:c>
      <x:c r="O11" s="8" t="str">
        <x:v>10's</x:v>
      </x:c>
      <x:c r="P11" s="8" t="str">
        <x:v>Sanofi Aventis</x:v>
      </x:c>
      <x:c r="Q11" s="8" t="str">
        <x:v>Sanofi Aventis</x:v>
      </x:c>
      <x:c r="R11" s="13" t="str">
        <x:v>https://sehat.com.pk/products/Flagyl-Tab-400mg-10%27s.html</x:v>
      </x:c>
      <x:c r="S11" s="12" t="n">
        <x:v>46259</x:v>
      </x:c>
      <x:c r="T11" s="14" t="str">
        <x:v>Price is source-backed; stock, batch, barcode, and expiry fields are testing values.</x:v>
      </x:c>
      <x:c r="U11" s="9" t="n">
        <x:f>D11*F11</x:f>
        <x:v>864</x:v>
      </x:c>
    </x:row>
    <x:row r="12">
      <x:c r="A12" s="8" t="str">
        <x:v>PHR-DIAB-001</x:v>
      </x:c>
      <x:c r="B12" s="8" t="str">
        <x:v>Glucophage XR Tab 500mg 3x10's</x:v>
      </x:c>
      <x:c r="C12" s="8" t="str">
        <x:v>Diabetes</x:v>
      </x:c>
      <x:c r="D12" s="9" t="n">
        <x:v>217.12</x:v>
      </x:c>
      <x:c r="E12" s="8" t="str">
        <x:v>Main Warehouse</x:v>
      </x:c>
      <x:c r="F12" s="10" t="n">
        <x:v>24</x:v>
      </x:c>
      <x:c r="G12" s="10" t="n">
        <x:v>3</x:v>
      </x:c>
      <x:c r="H12" s="10" t="n">
        <x:v>10</x:v>
      </x:c>
      <x:c r="I12" s="8" t="str">
        <x:v>Yes</x:v>
      </x:c>
      <x:c r="J12" s="8" t="str">
        <x:v>Yes</x:v>
      </x:c>
      <x:c r="K12" s="8" t="str">
        <x:v>GLU500</x:v>
      </x:c>
      <x:c r="L12" s="11" t="str">
        <x:v>8906110000011</x:v>
      </x:c>
      <x:c r="M12" s="8" t="str">
        <x:v>B250811</x:v>
      </x:c>
      <x:c r="N12" s="12" t="n">
        <x:v>46904</x:v>
      </x:c>
      <x:c r="O12" s="8" t="str">
        <x:v>3x10's</x:v>
      </x:c>
      <x:c r="P12" s="8" t="str">
        <x:v>Martin Dow Pharmaceutical Limited</x:v>
      </x:c>
      <x:c r="Q12" s="8" t="str">
        <x:v>Martin Dow Pharmaceutical Limited</x:v>
      </x:c>
      <x:c r="R12" s="13" t="str">
        <x:v>https://sehat.com.pk/products/Glucophage-XR-Tab-500mg-3x10%27s.html</x:v>
      </x:c>
      <x:c r="S12" s="12" t="n">
        <x:v>46259</x:v>
      </x:c>
      <x:c r="T12" s="14" t="str">
        <x:v>Price is source-backed; stock, batch, barcode, and expiry fields are testing values.</x:v>
      </x:c>
      <x:c r="U12" s="9" t="n">
        <x:f>D12*F12</x:f>
        <x:v>5210.88</x:v>
      </x:c>
    </x:row>
    <x:row r="13">
      <x:c r="A13" s="8" t="str">
        <x:v>PHR-DIAB-002</x:v>
      </x:c>
      <x:c r="B13" s="8" t="str">
        <x:v>Glucophage XR Tab 750mg 3x10's</x:v>
      </x:c>
      <x:c r="C13" s="8" t="str">
        <x:v>Diabetes</x:v>
      </x:c>
      <x:c r="D13" s="9" t="n">
        <x:v>372</x:v>
      </x:c>
      <x:c r="E13" s="8" t="str">
        <x:v>Main Warehouse</x:v>
      </x:c>
      <x:c r="F13" s="10" t="n">
        <x:v>18</x:v>
      </x:c>
      <x:c r="G13" s="10" t="n">
        <x:v>2</x:v>
      </x:c>
      <x:c r="H13" s="10" t="n">
        <x:v>8</x:v>
      </x:c>
      <x:c r="I13" s="8" t="str">
        <x:v>Yes</x:v>
      </x:c>
      <x:c r="J13" s="8" t="str">
        <x:v>Yes</x:v>
      </x:c>
      <x:c r="K13" s="8" t="str">
        <x:v>GLU750</x:v>
      </x:c>
      <x:c r="L13" s="11" t="str">
        <x:v>8906110000012</x:v>
      </x:c>
      <x:c r="M13" s="8" t="str">
        <x:v>B250812</x:v>
      </x:c>
      <x:c r="N13" s="12" t="n">
        <x:v>46934</x:v>
      </x:c>
      <x:c r="O13" s="8" t="str">
        <x:v>3x10's</x:v>
      </x:c>
      <x:c r="P13" s="8" t="str">
        <x:v>Martin Dow Pharmaceuticals (Pak) Ltd</x:v>
      </x:c>
      <x:c r="Q13" s="8" t="str">
        <x:v>Martin Dow Pharmaceuticals (Pak) Ltd</x:v>
      </x:c>
      <x:c r="R13" s="13" t="str">
        <x:v>https://sehat.com.pk/categories/Prescription-Drugs-/Diabetes/Oral-anti%252ddiabetics/Biguanides/</x:v>
      </x:c>
      <x:c r="S13" s="12" t="n">
        <x:v>46259</x:v>
      </x:c>
      <x:c r="T13" s="14" t="str">
        <x:v>Price is source-backed; stock, batch, barcode, and expiry fields are testing values.</x:v>
      </x:c>
      <x:c r="U13" s="9" t="n">
        <x:f>D13*F13</x:f>
        <x:v>6696</x:v>
      </x:c>
    </x:row>
    <x:row r="14">
      <x:c r="A14" s="8" t="str">
        <x:v>PHR-DIAB-003</x:v>
      </x:c>
      <x:c r="B14" s="8" t="str">
        <x:v>Glucophage XR Tab 1g 1x10-s</x:v>
      </x:c>
      <x:c r="C14" s="8" t="str">
        <x:v>Diabetes</x:v>
      </x:c>
      <x:c r="D14" s="9" t="n">
        <x:v>105.57</x:v>
      </x:c>
      <x:c r="E14" s="8" t="str">
        <x:v>Main Warehouse</x:v>
      </x:c>
      <x:c r="F14" s="10" t="n">
        <x:v>22</x:v>
      </x:c>
      <x:c r="G14" s="10" t="n">
        <x:v>1</x:v>
      </x:c>
      <x:c r="H14" s="10" t="n">
        <x:v>8</x:v>
      </x:c>
      <x:c r="I14" s="8" t="str">
        <x:v>No</x:v>
      </x:c>
      <x:c r="J14" s="8" t="str">
        <x:v>Yes</x:v>
      </x:c>
      <x:c r="K14" s="8" t="str">
        <x:v>GLU1G</x:v>
      </x:c>
      <x:c r="L14" s="11" t="str">
        <x:v>8906110000013</x:v>
      </x:c>
      <x:c r="M14" s="8" t="str">
        <x:v>B250813</x:v>
      </x:c>
      <x:c r="N14" s="12" t="n">
        <x:v>46752</x:v>
      </x:c>
      <x:c r="O14" s="8" t="str">
        <x:v>1x10-s</x:v>
      </x:c>
      <x:c r="P14" s="8" t="str">
        <x:v>Martin Dow Pharmaceuticals (Pak) Ltd</x:v>
      </x:c>
      <x:c r="Q14" s="8" t="str">
        <x:v>Martin Dow Pharmaceuticals (Pak) Ltd</x:v>
      </x:c>
      <x:c r="R14" s="13" t="str">
        <x:v>https://sehat.com.pk/manufacturers/Martin-Dow-Pharmaceuticals-%28Pak%29-Ltd-.html?page=3</x:v>
      </x:c>
      <x:c r="S14" s="12" t="n">
        <x:v>46259</x:v>
      </x:c>
      <x:c r="T14" s="14" t="str">
        <x:v>Price is source-backed; stock, batch, barcode, and expiry fields are testing values.</x:v>
      </x:c>
      <x:c r="U14" s="9" t="n">
        <x:f>D14*F14</x:f>
        <x:v>2322.54</x:v>
      </x:c>
    </x:row>
    <x:row r="15">
      <x:c r="A15" s="8" t="str">
        <x:v>PHR-CARD-001</x:v>
      </x:c>
      <x:c r="B15" s="8" t="str">
        <x:v>Rosuva Tab 10mg 10's</x:v>
      </x:c>
      <x:c r="C15" s="8" t="str">
        <x:v>Cardiology</x:v>
      </x:c>
      <x:c r="D15" s="9" t="n">
        <x:v>318.6</x:v>
      </x:c>
      <x:c r="E15" s="8" t="str">
        <x:v>Main Warehouse</x:v>
      </x:c>
      <x:c r="F15" s="10" t="n">
        <x:v>15</x:v>
      </x:c>
      <x:c r="G15" s="10" t="n">
        <x:v>1</x:v>
      </x:c>
      <x:c r="H15" s="10" t="n">
        <x:v>6</x:v>
      </x:c>
      <x:c r="I15" s="8" t="str">
        <x:v>Yes</x:v>
      </x:c>
      <x:c r="J15" s="8" t="str">
        <x:v>Yes</x:v>
      </x:c>
      <x:c r="K15" s="8" t="str">
        <x:v>ROS10</x:v>
      </x:c>
      <x:c r="L15" s="11" t="str">
        <x:v>8906110000014</x:v>
      </x:c>
      <x:c r="M15" s="8" t="str">
        <x:v>B250814</x:v>
      </x:c>
      <x:c r="N15" s="12" t="n">
        <x:v>46783</x:v>
      </x:c>
      <x:c r="O15" s="8" t="str">
        <x:v>10's</x:v>
      </x:c>
      <x:c r="P15" s="8" t="str">
        <x:v>Wilson's Pharmaceuticals</x:v>
      </x:c>
      <x:c r="Q15" s="8" t="str">
        <x:v>Wilson's Pharmaceuticals</x:v>
      </x:c>
      <x:c r="R15" s="13" t="str">
        <x:v>https://sehat.com.pk/products/Rosuva-Tab-10mg-10%27s.html</x:v>
      </x:c>
      <x:c r="S15" s="12" t="n">
        <x:v>46259</x:v>
      </x:c>
      <x:c r="T15" s="14" t="str">
        <x:v>Price is source-backed; stock, batch, barcode, and expiry fields are testing values.</x:v>
      </x:c>
      <x:c r="U15" s="9" t="n">
        <x:f>D15*F15</x:f>
        <x:v>4779</x:v>
      </x:c>
    </x:row>
    <x:row r="16">
      <x:c r="A16" s="8" t="str">
        <x:v>PHR-CARD-002</x:v>
      </x:c>
      <x:c r="B16" s="8" t="str">
        <x:v>Rovista EZ 10 +10 mg 10's</x:v>
      </x:c>
      <x:c r="C16" s="8" t="str">
        <x:v>Cardiology</x:v>
      </x:c>
      <x:c r="D16" s="9" t="n">
        <x:v>425.5</x:v>
      </x:c>
      <x:c r="E16" s="8" t="str">
        <x:v>Main Warehouse</x:v>
      </x:c>
      <x:c r="F16" s="10" t="n">
        <x:v>12</x:v>
      </x:c>
      <x:c r="G16" s="10" t="n">
        <x:v>1</x:v>
      </x:c>
      <x:c r="H16" s="10" t="n">
        <x:v>5</x:v>
      </x:c>
      <x:c r="I16" s="8" t="str">
        <x:v>Yes</x:v>
      </x:c>
      <x:c r="J16" s="8" t="str">
        <x:v>Yes</x:v>
      </x:c>
      <x:c r="K16" s="8" t="str">
        <x:v>ROVEZ</x:v>
      </x:c>
      <x:c r="L16" s="11" t="str">
        <x:v>8906110000015</x:v>
      </x:c>
      <x:c r="M16" s="8" t="str">
        <x:v>B250815</x:v>
      </x:c>
      <x:c r="N16" s="12" t="n">
        <x:v>46811</x:v>
      </x:c>
      <x:c r="O16" s="8" t="str">
        <x:v>10's</x:v>
      </x:c>
      <x:c r="P16" s="8" t="str">
        <x:v>Getz Pharma Pakistan (Pvt) Ltd</x:v>
      </x:c>
      <x:c r="Q16" s="8" t="str">
        <x:v>Getz Pharma Pakistan (Pvt) Ltd</x:v>
      </x:c>
      <x:c r="R16" s="13" t="str">
        <x:v>https://sehat.com.pk/products/Rovista-EZ-10-%252b10-mg-10%27s.html</x:v>
      </x:c>
      <x:c r="S16" s="12" t="n">
        <x:v>46259</x:v>
      </x:c>
      <x:c r="T16" s="14" t="str">
        <x:v>Price is source-backed; stock, batch, barcode, and expiry fields are testing values.</x:v>
      </x:c>
      <x:c r="U16" s="9" t="n">
        <x:f>D16*F16</x:f>
        <x:v>5106</x:v>
      </x:c>
    </x:row>
    <x:row r="17">
      <x:c r="A17" s="8" t="str">
        <x:v>PHR-CARD-003</x:v>
      </x:c>
      <x:c r="B17" s="8" t="str">
        <x:v>Sofvasc Tab 5mg 1x30's</x:v>
      </x:c>
      <x:c r="C17" s="8" t="str">
        <x:v>Cardiology</x:v>
      </x:c>
      <x:c r="D17" s="9" t="n">
        <x:v>356.84</x:v>
      </x:c>
      <x:c r="E17" s="8" t="str">
        <x:v>Main Warehouse</x:v>
      </x:c>
      <x:c r="F17" s="10" t="n">
        <x:v>20</x:v>
      </x:c>
      <x:c r="G17" s="10" t="n">
        <x:v>1</x:v>
      </x:c>
      <x:c r="H17" s="10" t="n">
        <x:v>7</x:v>
      </x:c>
      <x:c r="I17" s="8" t="str">
        <x:v>No</x:v>
      </x:c>
      <x:c r="J17" s="8" t="str">
        <x:v>Yes</x:v>
      </x:c>
      <x:c r="K17" s="8" t="str">
        <x:v>SOFVSC</x:v>
      </x:c>
      <x:c r="L17" s="11" t="str">
        <x:v>8906110000016</x:v>
      </x:c>
      <x:c r="M17" s="8" t="str">
        <x:v>B250816</x:v>
      </x:c>
      <x:c r="N17" s="12" t="n">
        <x:v>46843</x:v>
      </x:c>
      <x:c r="O17" s="8" t="str">
        <x:v>1x30's</x:v>
      </x:c>
      <x:c r="P17" s="8" t="str">
        <x:v>Wilson's Pharmaceuticals</x:v>
      </x:c>
      <x:c r="Q17" s="8" t="str">
        <x:v>Wilson's Pharmaceuticals</x:v>
      </x:c>
      <x:c r="R17" s="13" t="str">
        <x:v>https://sehat.com.pk/products/Sofvasc-Tab-5mg-1x30%27s.html</x:v>
      </x:c>
      <x:c r="S17" s="12" t="n">
        <x:v>46259</x:v>
      </x:c>
      <x:c r="T17" s="14" t="str">
        <x:v>Price is source-backed; stock, batch, barcode, and expiry fields are testing values.</x:v>
      </x:c>
      <x:c r="U17" s="9" t="n">
        <x:f>D17*F17</x:f>
        <x:v>7136.799999999999</x:v>
      </x:c>
    </x:row>
    <x:row r="18">
      <x:c r="A18" s="8" t="str">
        <x:v>PHR-CARD-004</x:v>
      </x:c>
      <x:c r="B18" s="8" t="str">
        <x:v>Norvasc Tab 5mg 30's</x:v>
      </x:c>
      <x:c r="C18" s="8" t="str">
        <x:v>Cardiology</x:v>
      </x:c>
      <x:c r="D18" s="9" t="n">
        <x:v>460.48</x:v>
      </x:c>
      <x:c r="E18" s="8" t="str">
        <x:v>Main Warehouse</x:v>
      </x:c>
      <x:c r="F18" s="10" t="n">
        <x:v>11</x:v>
      </x:c>
      <x:c r="G18" s="10" t="n">
        <x:v>1</x:v>
      </x:c>
      <x:c r="H18" s="10" t="n">
        <x:v>5</x:v>
      </x:c>
      <x:c r="I18" s="8" t="str">
        <x:v>No</x:v>
      </x:c>
      <x:c r="J18" s="8" t="str">
        <x:v>Yes</x:v>
      </x:c>
      <x:c r="K18" s="8" t="str">
        <x:v>NOR5</x:v>
      </x:c>
      <x:c r="L18" s="11" t="str">
        <x:v>8906110000017</x:v>
      </x:c>
      <x:c r="M18" s="8" t="str">
        <x:v>B250817</x:v>
      </x:c>
      <x:c r="N18" s="12" t="n">
        <x:v>46904</x:v>
      </x:c>
      <x:c r="O18" s="8" t="str">
        <x:v>30's</x:v>
      </x:c>
      <x:c r="P18" s="8" t="str">
        <x:v>Pfizer Pakistan</x:v>
      </x:c>
      <x:c r="Q18" s="8" t="str">
        <x:v>Pfizer Pakistan</x:v>
      </x:c>
      <x:c r="R18" s="13" t="str">
        <x:v>https://sehat.com.pk/manufacturers/Pfizer-Pakistan-.html</x:v>
      </x:c>
      <x:c r="S18" s="12" t="n">
        <x:v>46259</x:v>
      </x:c>
      <x:c r="T18" s="14" t="str">
        <x:v>Price is source-backed; stock, batch, barcode, and expiry fields are testing values.</x:v>
      </x:c>
      <x:c r="U18" s="9" t="n">
        <x:f>D18*F18</x:f>
        <x:v>5065.280000000001</x:v>
      </x:c>
    </x:row>
    <x:row r="19">
      <x:c r="A19" s="8" t="str">
        <x:v>PHR-GI-001</x:v>
      </x:c>
      <x:c r="B19" s="8" t="str">
        <x:v>Motilium Tab 10mg 10's</x:v>
      </x:c>
      <x:c r="C19" s="8" t="str">
        <x:v>Gastrointestinal</x:v>
      </x:c>
      <x:c r="D19" s="9" t="n">
        <x:v>108.37</x:v>
      </x:c>
      <x:c r="E19" s="8" t="str">
        <x:v>Main Warehouse</x:v>
      </x:c>
      <x:c r="F19" s="10" t="n">
        <x:v>18</x:v>
      </x:c>
      <x:c r="G19" s="10" t="n">
        <x:v>1</x:v>
      </x:c>
      <x:c r="H19" s="10" t="n">
        <x:v>8</x:v>
      </x:c>
      <x:c r="I19" s="8" t="str">
        <x:v>Yes</x:v>
      </x:c>
      <x:c r="J19" s="8" t="str">
        <x:v>Yes</x:v>
      </x:c>
      <x:c r="K19" s="8" t="str">
        <x:v>MOT10</x:v>
      </x:c>
      <x:c r="L19" s="11" t="str">
        <x:v>8906110000018</x:v>
      </x:c>
      <x:c r="M19" s="8" t="str">
        <x:v>B250818</x:v>
      </x:c>
      <x:c r="N19" s="12" t="n">
        <x:v>46721</x:v>
      </x:c>
      <x:c r="O19" s="8" t="str">
        <x:v>10's</x:v>
      </x:c>
      <x:c r="P19" s="8" t="str">
        <x:v>Aspin Pharma formerly Janssen-Cilag</x:v>
      </x:c>
      <x:c r="Q19" s="8" t="str">
        <x:v>Aspin Pharma formerly Janssen-Cilag</x:v>
      </x:c>
      <x:c r="R19" s="13" t="str">
        <x:v>https://sehat.com.pk/categories/Prescription-Drugs-/Gastrointestinal-disorders-/Nausea-and-vomiting/</x:v>
      </x:c>
      <x:c r="S19" s="12" t="n">
        <x:v>46259</x:v>
      </x:c>
      <x:c r="T19" s="14" t="str">
        <x:v>Price is source-backed; stock, batch, barcode, and expiry fields are testing values.</x:v>
      </x:c>
      <x:c r="U19" s="9" t="n">
        <x:f>D19*F19</x:f>
        <x:v>1950.66</x:v>
      </x:c>
    </x:row>
    <x:row r="20">
      <x:c r="A20" s="8" t="str">
        <x:v>PHR-GI-002</x:v>
      </x:c>
      <x:c r="B20" s="8" t="str">
        <x:v>Motilium Susp 5mg/5ml 120ml</x:v>
      </x:c>
      <x:c r="C20" s="8" t="str">
        <x:v>Gastrointestinal</x:v>
      </x:c>
      <x:c r="D20" s="9" t="n">
        <x:v>133.65</x:v>
      </x:c>
      <x:c r="E20" s="8" t="str">
        <x:v>Main Warehouse</x:v>
      </x:c>
      <x:c r="F20" s="10" t="n">
        <x:v>10</x:v>
      </x:c>
      <x:c r="G20" s="10" t="n">
        <x:v>1</x:v>
      </x:c>
      <x:c r="H20" s="10" t="n">
        <x:v>4</x:v>
      </x:c>
      <x:c r="I20" s="8" t="str">
        <x:v>No</x:v>
      </x:c>
      <x:c r="J20" s="8" t="str">
        <x:v>Yes</x:v>
      </x:c>
      <x:c r="K20" s="8" t="str">
        <x:v>MOTS12</x:v>
      </x:c>
      <x:c r="L20" s="11" t="str">
        <x:v>8906110000019</x:v>
      </x:c>
      <x:c r="M20" s="8" t="str">
        <x:v>B250819</x:v>
      </x:c>
      <x:c r="N20" s="12" t="n">
        <x:v>46691</x:v>
      </x:c>
      <x:c r="O20" s="8" t="str">
        <x:v>120ml</x:v>
      </x:c>
      <x:c r="P20" s="8" t="str">
        <x:v>Aspin Pharma formerly Janssen-Cilag</x:v>
      </x:c>
      <x:c r="Q20" s="8" t="str">
        <x:v>Aspin Pharma formerly Janssen-Cilag</x:v>
      </x:c>
      <x:c r="R20" s="13" t="str">
        <x:v>https://sehat.com.pk/products/Motilium-Susp-120ml.html</x:v>
      </x:c>
      <x:c r="S20" s="12" t="n">
        <x:v>46259</x:v>
      </x:c>
      <x:c r="T20" s="14" t="str">
        <x:v>Price is source-backed; stock, batch, barcode, and expiry fields are testing values.</x:v>
      </x:c>
      <x:c r="U20" s="9" t="n">
        <x:f>D20*F20</x:f>
        <x:v>1336.5</x:v>
      </x:c>
    </x:row>
    <x:row r="21">
      <x:c r="A21" s="8" t="str">
        <x:v>PHR-GI-003</x:v>
      </x:c>
      <x:c r="B21" s="8" t="str">
        <x:v>Diatazox Tab 500mg 20's</x:v>
      </x:c>
      <x:c r="C21" s="8" t="str">
        <x:v>Gastrointestinal</x:v>
      </x:c>
      <x:c r="D21" s="9" t="n">
        <x:v>319</x:v>
      </x:c>
      <x:c r="E21" s="8" t="str">
        <x:v>Main Warehouse</x:v>
      </x:c>
      <x:c r="F21" s="10" t="n">
        <x:v>8</x:v>
      </x:c>
      <x:c r="G21" s="10" t="n">
        <x:v>1</x:v>
      </x:c>
      <x:c r="H21" s="10" t="n">
        <x:v>3</x:v>
      </x:c>
      <x:c r="I21" s="8" t="str">
        <x:v>No</x:v>
      </x:c>
      <x:c r="J21" s="8" t="str">
        <x:v>Yes</x:v>
      </x:c>
      <x:c r="K21" s="8" t="str">
        <x:v>DIA500</x:v>
      </x:c>
      <x:c r="L21" s="11" t="str">
        <x:v>8906110000020</x:v>
      </x:c>
      <x:c r="M21" s="8" t="str">
        <x:v>B250820</x:v>
      </x:c>
      <x:c r="N21" s="12" t="n">
        <x:v>46873</x:v>
      </x:c>
      <x:c r="O21" s="8" t="str">
        <x:v>20's</x:v>
      </x:c>
      <x:c r="P21" s="8" t="str">
        <x:v>Continental Pharmaceuticals</x:v>
      </x:c>
      <x:c r="Q21" s="8" t="str">
        <x:v>Continental Pharmaceuticals</x:v>
      </x:c>
      <x:c r="R21" s="13" t="str">
        <x:v>https://sehat.com.pk/categories/Prescription-Drugs-/Gastrointestinal-disorders-/Anti%252ddiarrheal/</x:v>
      </x:c>
      <x:c r="S21" s="12" t="n">
        <x:v>46259</x:v>
      </x:c>
      <x:c r="T21" s="14" t="str">
        <x:v>Price is source-backed; stock, batch, barcode, and expiry fields are testing values.</x:v>
      </x:c>
      <x:c r="U21" s="9" t="n">
        <x:f>D21*F21</x:f>
        <x:v>2552</x:v>
      </x:c>
    </x:row>
    <x:row r="22">
      <x:c r="A22" s="8" t="str">
        <x:v>PHR-RESP-001</x:v>
      </x:c>
      <x:c r="B22" s="8" t="str">
        <x:v>Ventolin Evohaler 100mcg 1's</x:v>
      </x:c>
      <x:c r="C22" s="8" t="str">
        <x:v>Respiratory</x:v>
      </x:c>
      <x:c r="D22" s="9" t="n">
        <x:v>1000</x:v>
      </x:c>
      <x:c r="E22" s="8" t="str">
        <x:v>Main Warehouse</x:v>
      </x:c>
      <x:c r="F22" s="10" t="n">
        <x:v>6</x:v>
      </x:c>
      <x:c r="G22" s="10" t="n">
        <x:v>1</x:v>
      </x:c>
      <x:c r="H22" s="10" t="n">
        <x:v>3</x:v>
      </x:c>
      <x:c r="I22" s="8" t="str">
        <x:v>Yes</x:v>
      </x:c>
      <x:c r="J22" s="8" t="str">
        <x:v>Yes</x:v>
      </x:c>
      <x:c r="K22" s="8" t="str">
        <x:v>VENTIN</x:v>
      </x:c>
      <x:c r="L22" s="11" t="str">
        <x:v>8906110000021</x:v>
      </x:c>
      <x:c r="M22" s="8" t="str">
        <x:v>B250821</x:v>
      </x:c>
      <x:c r="N22" s="12" t="n">
        <x:v>46965</x:v>
      </x:c>
      <x:c r="O22" s="8" t="str">
        <x:v>1's</x:v>
      </x:c>
      <x:c r="P22" s="8" t="str">
        <x:v>Glaxosmithkline</x:v>
      </x:c>
      <x:c r="Q22" s="8" t="str">
        <x:v>Glaxosmithkline</x:v>
      </x:c>
      <x:c r="R22" s="13" t="str">
        <x:v>https://sehat.com.pk/categories/Prescription-Drugs-/Asthma/Inhalers/?page=2</x:v>
      </x:c>
      <x:c r="S22" s="12" t="n">
        <x:v>46259</x:v>
      </x:c>
      <x:c r="T22" s="14" t="str">
        <x:v>Price is source-backed; stock, batch, barcode, and expiry fields are testing values.</x:v>
      </x:c>
      <x:c r="U22" s="9" t="n">
        <x:f>D22*F22</x:f>
        <x:v>6000</x:v>
      </x:c>
    </x:row>
    <x:row r="23">
      <x:c r="A23" s="8" t="str">
        <x:v>PHR-RESP-002</x:v>
      </x:c>
      <x:c r="B23" s="8" t="str">
        <x:v>Ventolin Expectorant SF 120ml</x:v>
      </x:c>
      <x:c r="C23" s="8" t="str">
        <x:v>Respiratory</x:v>
      </x:c>
      <x:c r="D23" s="9" t="n">
        <x:v>68.81</x:v>
      </x:c>
      <x:c r="E23" s="8" t="str">
        <x:v>Main Warehouse</x:v>
      </x:c>
      <x:c r="F23" s="10" t="n">
        <x:v>20</x:v>
      </x:c>
      <x:c r="G23" s="10" t="n">
        <x:v>2</x:v>
      </x:c>
      <x:c r="H23" s="10" t="n">
        <x:v>8</x:v>
      </x:c>
      <x:c r="I23" s="8" t="str">
        <x:v>Yes</x:v>
      </x:c>
      <x:c r="J23" s="8" t="str">
        <x:v>Yes</x:v>
      </x:c>
      <x:c r="K23" s="8" t="str">
        <x:v>VENTEX</x:v>
      </x:c>
      <x:c r="L23" s="11" t="str">
        <x:v>8906110000022</x:v>
      </x:c>
      <x:c r="M23" s="8" t="str">
        <x:v>B250822</x:v>
      </x:c>
      <x:c r="N23" s="12" t="n">
        <x:v>46630</x:v>
      </x:c>
      <x:c r="O23" s="8" t="str">
        <x:v>120ml</x:v>
      </x:c>
      <x:c r="P23" s="8" t="str">
        <x:v>Glaxosmithkline</x:v>
      </x:c>
      <x:c r="Q23" s="8" t="str">
        <x:v>Glaxosmithkline</x:v>
      </x:c>
      <x:c r="R23" s="13" t="str">
        <x:v>https://sehat.com.pk/categories/Prescription-Drugs-/Lungs/?page=3</x:v>
      </x:c>
      <x:c r="S23" s="12" t="n">
        <x:v>46259</x:v>
      </x:c>
      <x:c r="T23" s="14" t="str">
        <x:v>Price is source-backed; stock, batch, barcode, and expiry fields are testing values.</x:v>
      </x:c>
      <x:c r="U23" s="9" t="n">
        <x:f>D23*F23</x:f>
        <x:v>1376.2</x:v>
      </x:c>
    </x:row>
    <x:row r="24">
      <x:c r="A24" s="8" t="str">
        <x:v>PHR-RESP-003</x:v>
      </x:c>
      <x:c r="B24" s="8" t="str">
        <x:v>Ventolin Syp SF 120ml</x:v>
      </x:c>
      <x:c r="C24" s="8" t="str">
        <x:v>Respiratory</x:v>
      </x:c>
      <x:c r="D24" s="9" t="n">
        <x:v>77.53</x:v>
      </x:c>
      <x:c r="E24" s="8" t="str">
        <x:v>Main Warehouse</x:v>
      </x:c>
      <x:c r="F24" s="10" t="n">
        <x:v>18</x:v>
      </x:c>
      <x:c r="G24" s="10" t="n">
        <x:v>1</x:v>
      </x:c>
      <x:c r="H24" s="10" t="n">
        <x:v>6</x:v>
      </x:c>
      <x:c r="I24" s="8" t="str">
        <x:v>No</x:v>
      </x:c>
      <x:c r="J24" s="8" t="str">
        <x:v>Yes</x:v>
      </x:c>
      <x:c r="K24" s="8" t="str">
        <x:v>VENTSF</x:v>
      </x:c>
      <x:c r="L24" s="11" t="str">
        <x:v>8906110000023</x:v>
      </x:c>
      <x:c r="M24" s="8" t="str">
        <x:v>B250823</x:v>
      </x:c>
      <x:c r="N24" s="12" t="n">
        <x:v>46660</x:v>
      </x:c>
      <x:c r="O24" s="8" t="str">
        <x:v>120ml</x:v>
      </x:c>
      <x:c r="P24" s="8" t="str">
        <x:v>Glaxosmithkline</x:v>
      </x:c>
      <x:c r="Q24" s="8" t="str">
        <x:v>Glaxosmithkline</x:v>
      </x:c>
      <x:c r="R24" s="13" t="str">
        <x:v>https://sehat.com.pk/categories/Prescription-Drugs-/Lungs/?page=3</x:v>
      </x:c>
      <x:c r="S24" s="12" t="n">
        <x:v>46259</x:v>
      </x:c>
      <x:c r="T24" s="14" t="str">
        <x:v>Price is source-backed; stock, batch, barcode, and expiry fields are testing values.</x:v>
      </x:c>
      <x:c r="U24" s="9" t="n">
        <x:f>D24*F24</x:f>
        <x:v>1395.54</x:v>
      </x:c>
    </x:row>
    <x:row r="25">
      <x:c r="A25" s="8" t="str">
        <x:v>PHR-VIT-001</x:v>
      </x:c>
      <x:c r="B25" s="8" t="str">
        <x:v>CAC-1000 Plus Lemon Tab 20's</x:v>
      </x:c>
      <x:c r="C25" s="8" t="str">
        <x:v>Vitamins &amp; Supplements</x:v>
      </x:c>
      <x:c r="D25" s="9" t="n">
        <x:v>550</x:v>
      </x:c>
      <x:c r="E25" s="8" t="str">
        <x:v>Main Warehouse</x:v>
      </x:c>
      <x:c r="F25" s="10" t="n">
        <x:v>12</x:v>
      </x:c>
      <x:c r="G25" s="10" t="n">
        <x:v>1</x:v>
      </x:c>
      <x:c r="H25" s="10" t="n">
        <x:v>4</x:v>
      </x:c>
      <x:c r="I25" s="8" t="str">
        <x:v>No</x:v>
      </x:c>
      <x:c r="J25" s="8" t="str">
        <x:v>Yes</x:v>
      </x:c>
      <x:c r="K25" s="8" t="str">
        <x:v>CAC1K</x:v>
      </x:c>
      <x:c r="L25" s="11" t="str">
        <x:v>8906110000024</x:v>
      </x:c>
      <x:c r="M25" s="8" t="str">
        <x:v>B250824</x:v>
      </x:c>
      <x:c r="N25" s="12" t="n">
        <x:v>46996</x:v>
      </x:c>
      <x:c r="O25" s="8" t="str">
        <x:v>20's</x:v>
      </x:c>
      <x:c r="P25" s="8" t="str">
        <x:v>GSK Consumer Healthcare</x:v>
      </x:c>
      <x:c r="Q25" s="8" t="str">
        <x:v>GSK Consumer Healthcare</x:v>
      </x:c>
      <x:c r="R25" s="13" t="str">
        <x:v>https://sehat.com.pk/products/CAC%252d1000-Plus-Lemon-Tab-20%27s.html</x:v>
      </x:c>
      <x:c r="S25" s="12" t="n">
        <x:v>46259</x:v>
      </x:c>
      <x:c r="T25" s="14" t="str">
        <x:v>Price is source-backed; stock, batch, barcode, and expiry fields are testing values.</x:v>
      </x:c>
      <x:c r="U25" s="9" t="n">
        <x:f>D25*F25</x:f>
        <x:v>6600</x:v>
      </x:c>
    </x:row>
    <x:row r="26">
      <x:c r="A26" s="8" t="str">
        <x:v>PHR-VIT-002</x:v>
      </x:c>
      <x:c r="B26" s="8" t="str">
        <x:v>Evion Cap 600mg 10's</x:v>
      </x:c>
      <x:c r="C26" s="8" t="str">
        <x:v>Vitamins &amp; Supplements</x:v>
      </x:c>
      <x:c r="D26" s="9" t="n">
        <x:v>127.75</x:v>
      </x:c>
      <x:c r="E26" s="8" t="str">
        <x:v>Main Warehouse</x:v>
      </x:c>
      <x:c r="F26" s="10" t="n">
        <x:v>25</x:v>
      </x:c>
      <x:c r="G26" s="10" t="n">
        <x:v>1</x:v>
      </x:c>
      <x:c r="H26" s="10" t="n">
        <x:v>8</x:v>
      </x:c>
      <x:c r="I26" s="8" t="str">
        <x:v>No</x:v>
      </x:c>
      <x:c r="J26" s="8" t="str">
        <x:v>Yes</x:v>
      </x:c>
      <x:c r="K26" s="8" t="str">
        <x:v>EVI600</x:v>
      </x:c>
      <x:c r="L26" s="11" t="str">
        <x:v>8906110000025</x:v>
      </x:c>
      <x:c r="M26" s="8" t="str">
        <x:v>B250825</x:v>
      </x:c>
      <x:c r="N26" s="12" t="n">
        <x:v>47026</x:v>
      </x:c>
      <x:c r="O26" s="8" t="str">
        <x:v>10's</x:v>
      </x:c>
      <x:c r="P26" s="8" t="str">
        <x:v>Martin Dow Pharmaceuticals (Pak) Ltd</x:v>
      </x:c>
      <x:c r="Q26" s="8" t="str">
        <x:v>Martin Dow Pharmaceuticals (Pak) Ltd</x:v>
      </x:c>
      <x:c r="R26" s="13" t="str">
        <x:v>https://sehat.com.pk/products/Evion-Cap-600mg-10%27s.html</x:v>
      </x:c>
      <x:c r="S26" s="12" t="n">
        <x:v>46259</x:v>
      </x:c>
      <x:c r="T26" s="14" t="str">
        <x:v>Price is source-backed; stock, batch, barcode, and expiry fields are testing values.</x:v>
      </x:c>
      <x:c r="U26" s="9" t="n">
        <x:f>D26*F26</x:f>
        <x:v>3193.75</x:v>
      </x:c>
    </x:row>
    <x:row r="27">
      <x:c r="A27" s="8" t="str">
        <x:v>PHR-VIT-003</x:v>
      </x:c>
      <x:c r="B27" s="8" t="str">
        <x:v>Evion Cap 400mg 10x10's</x:v>
      </x:c>
      <x:c r="C27" s="8" t="str">
        <x:v>Vitamins &amp; Supplements</x:v>
      </x:c>
      <x:c r="D27" s="9" t="n">
        <x:v>1078</x:v>
      </x:c>
      <x:c r="E27" s="8" t="str">
        <x:v>Main Warehouse</x:v>
      </x:c>
      <x:c r="F27" s="10" t="n">
        <x:v>5</x:v>
      </x:c>
      <x:c r="G27" s="10" t="n">
        <x:v>0</x:v>
      </x:c>
      <x:c r="H27" s="10" t="n">
        <x:v>2</x:v>
      </x:c>
      <x:c r="I27" s="8" t="str">
        <x:v>No</x:v>
      </x:c>
      <x:c r="J27" s="8" t="str">
        <x:v>No</x:v>
      </x:c>
      <x:c r="K27" s="8" t="str">
        <x:v>EVI400</x:v>
      </x:c>
      <x:c r="L27" s="11" t="str">
        <x:v>8906110000026</x:v>
      </x:c>
      <x:c r="M27" s="8" t="str">
        <x:v>B250826</x:v>
      </x:c>
      <x:c r="N27" s="12" t="n">
        <x:v>47057</x:v>
      </x:c>
      <x:c r="O27" s="8" t="str">
        <x:v>10x10's</x:v>
      </x:c>
      <x:c r="P27" s="8" t="str">
        <x:v>Martin Dow Pharmaceuticals (Pak) Ltd</x:v>
      </x:c>
      <x:c r="Q27" s="8" t="str">
        <x:v>Martin Dow Pharmaceuticals (Pak) Ltd</x:v>
      </x:c>
      <x:c r="R27" s="13" t="str">
        <x:v>https://sehat.com.pk/manufacturers/Martin-Dow-Pharmaceuticals-%28Pak%29-Ltd-.html?page=16</x:v>
      </x:c>
      <x:c r="S27" s="12" t="n">
        <x:v>46259</x:v>
      </x:c>
      <x:c r="T27" s="14" t="str">
        <x:v>Price is source-backed; stock, batch, barcode, and expiry fields are testing values.</x:v>
      </x:c>
      <x:c r="U27" s="9" t="n">
        <x:f>D27*F27</x:f>
        <x:v>5390</x:v>
      </x:c>
    </x:row>
    <x:row r="28">
      <x:c r="A28" s="8" t="str">
        <x:v>PHR-COGH-001</x:v>
      </x:c>
      <x:c r="B28" s="8" t="str">
        <x:v>No Kuff Cough Syp 120ml</x:v>
      </x:c>
      <x:c r="C28" s="8" t="str">
        <x:v>Cough &amp; Cold</x:v>
      </x:c>
      <x:c r="D28" s="9" t="n">
        <x:v>205</x:v>
      </x:c>
      <x:c r="E28" s="8" t="str">
        <x:v>Main Warehouse</x:v>
      </x:c>
      <x:c r="F28" s="10" t="n">
        <x:v>10</x:v>
      </x:c>
      <x:c r="G28" s="10" t="n">
        <x:v>1</x:v>
      </x:c>
      <x:c r="H28" s="10" t="n">
        <x:v>4</x:v>
      </x:c>
      <x:c r="I28" s="8" t="str">
        <x:v>No</x:v>
      </x:c>
      <x:c r="J28" s="8" t="str">
        <x:v>Yes</x:v>
      </x:c>
      <x:c r="K28" s="8" t="str">
        <x:v>NOKUFF</x:v>
      </x:c>
      <x:c r="L28" s="11" t="str">
        <x:v>8906110000027</x:v>
      </x:c>
      <x:c r="M28" s="8" t="str">
        <x:v>B250827</x:v>
      </x:c>
      <x:c r="N28" s="12" t="n">
        <x:v>46599</x:v>
      </x:c>
      <x:c r="O28" s="8" t="str">
        <x:v>120ml</x:v>
      </x:c>
      <x:c r="P28" s="8" t="str">
        <x:v>Scilife Pharma (Pvt) Ltd</x:v>
      </x:c>
      <x:c r="Q28" s="8" t="str">
        <x:v>Scilife Pharma (Pvt) Ltd</x:v>
      </x:c>
      <x:c r="R28" s="13" t="str">
        <x:v>https://sehat.com.pk/products/No-Kuff-Cough-Syp-120ml.html</x:v>
      </x:c>
      <x:c r="S28" s="12" t="n">
        <x:v>46259</x:v>
      </x:c>
      <x:c r="T28" s="14" t="str">
        <x:v>Price is source-backed; stock, batch, barcode, and expiry fields are testing values.</x:v>
      </x:c>
      <x:c r="U28" s="9" t="n">
        <x:f>D28*F28</x:f>
        <x:v>2050</x:v>
      </x:c>
    </x:row>
    <x:row r="29">
      <x:c r="A29" s="8" t="str">
        <x:v>PHR-COGH-002</x:v>
      </x:c>
      <x:c r="B29" s="8" t="str">
        <x:v>Cosome Syp 120ml</x:v>
      </x:c>
      <x:c r="C29" s="8" t="str">
        <x:v>Cough &amp; Cold</x:v>
      </x:c>
      <x:c r="D29" s="9" t="n">
        <x:v>167</x:v>
      </x:c>
      <x:c r="E29" s="8" t="str">
        <x:v>Main Warehouse</x:v>
      </x:c>
      <x:c r="F29" s="10" t="n">
        <x:v>12</x:v>
      </x:c>
      <x:c r="G29" s="10" t="n">
        <x:v>1</x:v>
      </x:c>
      <x:c r="H29" s="10" t="n">
        <x:v>5</x:v>
      </x:c>
      <x:c r="I29" s="8" t="str">
        <x:v>No</x:v>
      </x:c>
      <x:c r="J29" s="8" t="str">
        <x:v>Yes</x:v>
      </x:c>
      <x:c r="K29" s="8" t="str">
        <x:v>COSOME</x:v>
      </x:c>
      <x:c r="L29" s="11" t="str">
        <x:v>8906110000028</x:v>
      </x:c>
      <x:c r="M29" s="8" t="str">
        <x:v>B250828</x:v>
      </x:c>
      <x:c r="N29" s="12" t="n">
        <x:v>46630</x:v>
      </x:c>
      <x:c r="O29" s="8" t="str">
        <x:v>120ml</x:v>
      </x:c>
      <x:c r="P29" s="8" t="str">
        <x:v>Martin Dow Pharmaceuticals (Pak) Ltd</x:v>
      </x:c>
      <x:c r="Q29" s="8" t="str">
        <x:v>Martin Dow Pharmaceuticals (Pak) Ltd</x:v>
      </x:c>
      <x:c r="R29" s="13" t="str">
        <x:v>https://sehat.com.pk/products/Cosome-Syp-120ml.html</x:v>
      </x:c>
      <x:c r="S29" s="12" t="n">
        <x:v>46259</x:v>
      </x:c>
      <x:c r="T29" s="14" t="str">
        <x:v>Price is source-backed; stock, batch, barcode, and expiry fields are testing values.</x:v>
      </x:c>
      <x:c r="U29" s="9" t="n">
        <x:f>D29*F29</x:f>
        <x:v>2004</x:v>
      </x:c>
    </x:row>
    <x:row r="30">
      <x:c r="A30" s="8" t="str">
        <x:v>PHR-COGH-003</x:v>
      </x:c>
      <x:c r="B30" s="8" t="str">
        <x:v>Pacific's Cough Mix 120ml</x:v>
      </x:c>
      <x:c r="C30" s="8" t="str">
        <x:v>Cough &amp; Cold</x:v>
      </x:c>
      <x:c r="D30" s="9" t="n">
        <x:v>111.38</x:v>
      </x:c>
      <x:c r="E30" s="8" t="str">
        <x:v>Main Warehouse</x:v>
      </x:c>
      <x:c r="F30" s="10" t="n">
        <x:v>14</x:v>
      </x:c>
      <x:c r="G30" s="10" t="n">
        <x:v>1</x:v>
      </x:c>
      <x:c r="H30" s="10" t="n">
        <x:v>5</x:v>
      </x:c>
      <x:c r="I30" s="8" t="str">
        <x:v>No</x:v>
      </x:c>
      <x:c r="J30" s="8" t="str">
        <x:v>Yes</x:v>
      </x:c>
      <x:c r="K30" s="8" t="str">
        <x:v>PACMIX</x:v>
      </x:c>
      <x:c r="L30" s="11" t="str">
        <x:v>8906110000029</x:v>
      </x:c>
      <x:c r="M30" s="8" t="str">
        <x:v>B250829</x:v>
      </x:c>
      <x:c r="N30" s="12" t="n">
        <x:v>46660</x:v>
      </x:c>
      <x:c r="O30" s="8" t="str">
        <x:v>120ml</x:v>
      </x:c>
      <x:c r="P30" s="8" t="str">
        <x:v>Pacific Pharmaceuticals Ltd.</x:v>
      </x:c>
      <x:c r="Q30" s="8" t="str">
        <x:v>Pacific Pharmaceuticals Ltd.</x:v>
      </x:c>
      <x:c r="R30" s="13" t="str">
        <x:v>https://sehat.com.pk/products/Pacific%27s-Cough-Mix-120ml.html</x:v>
      </x:c>
      <x:c r="S30" s="12" t="n">
        <x:v>46259</x:v>
      </x:c>
      <x:c r="T30" s="14" t="str">
        <x:v>Price is source-backed; stock, batch, barcode, and expiry fields are testing values.</x:v>
      </x:c>
      <x:c r="U30" s="9" t="n">
        <x:f>D30*F30</x:f>
        <x:v>1559.32</x:v>
      </x:c>
    </x:row>
    <x:row r="31">
      <x:c r="A31" s="8" t="str">
        <x:v>PHR-ANTA-001</x:v>
      </x:c>
      <x:c r="B31" s="8" t="str">
        <x:v>DEACID Susp 120ml</x:v>
      </x:c>
      <x:c r="C31" s="8" t="str">
        <x:v>Antacid</x:v>
      </x:c>
      <x:c r="D31" s="9" t="n">
        <x:v>17</x:v>
      </x:c>
      <x:c r="E31" s="8" t="str">
        <x:v>Main Warehouse</x:v>
      </x:c>
      <x:c r="F31" s="10" t="n">
        <x:v>30</x:v>
      </x:c>
      <x:c r="G31" s="10" t="n">
        <x:v>2</x:v>
      </x:c>
      <x:c r="H31" s="10" t="n">
        <x:v>10</x:v>
      </x:c>
      <x:c r="I31" s="8" t="str">
        <x:v>No</x:v>
      </x:c>
      <x:c r="J31" s="8" t="str">
        <x:v>Yes</x:v>
      </x:c>
      <x:c r="K31" s="8" t="str">
        <x:v>DEACID</x:v>
      </x:c>
      <x:c r="L31" s="11" t="str">
        <x:v>8906110000030</x:v>
      </x:c>
      <x:c r="M31" s="8" t="str">
        <x:v>B250830</x:v>
      </x:c>
      <x:c r="N31" s="12" t="n">
        <x:v>46783</x:v>
      </x:c>
      <x:c r="O31" s="8" t="str">
        <x:v>120ml</x:v>
      </x:c>
      <x:c r="P31" s="8" t="str">
        <x:v>Delta Pharma (Pvt) Ltd. Pak</x:v>
      </x:c>
      <x:c r="Q31" s="8" t="str">
        <x:v>Delta Pharma (Pvt) Ltd. Pak</x:v>
      </x:c>
      <x:c r="R31" s="13" t="str">
        <x:v>https://sehat.com.pk/products/DEACID-Susp-120ml.html</x:v>
      </x:c>
      <x:c r="S31" s="12" t="n">
        <x:v>46259</x:v>
      </x:c>
      <x:c r="T31" s="14" t="str">
        <x:v>Price is source-backed; stock, batch, barcode, and expiry fields are testing values.</x:v>
      </x:c>
      <x:c r="U31" s="9" t="n">
        <x:f>D31*F31</x:f>
        <x:v>510</x:v>
      </x:c>
    </x:row>
    <x:row r="32">
      <x:c r="A32" s="8" t="str">
        <x:v>PHR-INF-002</x:v>
      </x:c>
      <x:c r="B32" s="8" t="str">
        <x:v>Zetamax Tab 500mg 6's</x:v>
      </x:c>
      <x:c r="C32" s="8" t="str">
        <x:v>Infection</x:v>
      </x:c>
      <x:c r="D32" s="9" t="n">
        <x:v>358.61</x:v>
      </x:c>
      <x:c r="E32" s="8" t="str">
        <x:v>Main Warehouse</x:v>
      </x:c>
      <x:c r="F32" s="10" t="n">
        <x:v>7</x:v>
      </x:c>
      <x:c r="G32" s="10" t="n">
        <x:v>1</x:v>
      </x:c>
      <x:c r="H32" s="10" t="n">
        <x:v>3</x:v>
      </x:c>
      <x:c r="I32" s="8" t="str">
        <x:v>No</x:v>
      </x:c>
      <x:c r="J32" s="8" t="str">
        <x:v>Yes</x:v>
      </x:c>
      <x:c r="K32" s="8" t="str">
        <x:v>ZETA50</x:v>
      </x:c>
      <x:c r="L32" s="11" t="str">
        <x:v>8906110000031</x:v>
      </x:c>
      <x:c r="M32" s="8" t="str">
        <x:v>B250831</x:v>
      </x:c>
      <x:c r="N32" s="12" t="n">
        <x:v>46873</x:v>
      </x:c>
      <x:c r="O32" s="8" t="str">
        <x:v>6's</x:v>
      </x:c>
      <x:c r="P32" s="8" t="str">
        <x:v>Pfizer Pakistan</x:v>
      </x:c>
      <x:c r="Q32" s="8" t="str">
        <x:v>Pfizer Pakistan</x:v>
      </x:c>
      <x:c r="R32" s="13" t="str">
        <x:v>https://sehat.com.pk/manufacturers/Pfizer-Pakistan-.html</x:v>
      </x:c>
      <x:c r="S32" s="12" t="n">
        <x:v>46259</x:v>
      </x:c>
      <x:c r="T32" s="14" t="str">
        <x:v>Price is source-backed; stock, batch, barcode, and expiry fields are testing values.</x:v>
      </x:c>
      <x:c r="U32" s="9" t="n">
        <x:f>D32*F32</x:f>
        <x:v>2510.27</x:v>
      </x:c>
    </x:row>
    <x:row r="33">
      <x:c r="A33" s="8" t="str">
        <x:v>PHR-ANTI-001</x:v>
      </x:c>
      <x:c r="B33" s="8" t="str">
        <x:v>C-Nil Cap 400mg 10's</x:v>
      </x:c>
      <x:c r="C33" s="8" t="str">
        <x:v>Antiviral</x:v>
      </x:c>
      <x:c r="D33" s="9" t="n">
        <x:v>90</x:v>
      </x:c>
      <x:c r="E33" s="8" t="str">
        <x:v>Main Warehouse</x:v>
      </x:c>
      <x:c r="F33" s="10" t="n">
        <x:v>9</x:v>
      </x:c>
      <x:c r="G33" s="10" t="n">
        <x:v>1</x:v>
      </x:c>
      <x:c r="H33" s="10" t="n">
        <x:v>4</x:v>
      </x:c>
      <x:c r="I33" s="8" t="str">
        <x:v>No</x:v>
      </x:c>
      <x:c r="J33" s="8" t="str">
        <x:v>Yes</x:v>
      </x:c>
      <x:c r="K33" s="8" t="str">
        <x:v>CNIL40</x:v>
      </x:c>
      <x:c r="L33" s="11" t="str">
        <x:v>8906110000032</x:v>
      </x:c>
      <x:c r="M33" s="8" t="str">
        <x:v>B250832</x:v>
      </x:c>
      <x:c r="N33" s="12" t="n">
        <x:v>46934</x:v>
      </x:c>
      <x:c r="O33" s="8" t="str">
        <x:v>10's</x:v>
      </x:c>
      <x:c r="P33" s="8" t="str">
        <x:v>Neomedix</x:v>
      </x:c>
      <x:c r="Q33" s="8" t="str">
        <x:v>Neomedix</x:v>
      </x:c>
      <x:c r="R33" s="13" t="str">
        <x:v>https://sehat.com.pk/categories/Prescription-Drugs-/Infections/Viral-infections/</x:v>
      </x:c>
      <x:c r="S33" s="12" t="n">
        <x:v>46259</x:v>
      </x:c>
      <x:c r="T33" s="14" t="str">
        <x:v>Price is source-backed; stock, batch, barcode, and expiry fields are testing values.</x:v>
      </x:c>
      <x:c r="U33" s="9" t="n">
        <x:f>D33*F33</x:f>
        <x:v>810</x:v>
      </x:c>
    </x:row>
  </x:sheetData>
  <x:conditionalFormatting sqref="A2:U33">
    <x:cfRule type="expression" dxfId="0" priority="1">
      <x:formula>$F2&lt;=$H2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6.75" hidden="0" customWidth="1"/>
    <x:col min="2" max="2" width="79.75" hidden="0" customWidth="1"/>
    <x:col min="4" max="4" width="18.8799991607666" hidden="0" customWidth="1"/>
    <x:col min="5" max="5" width="8.630000114440918" hidden="0" customWidth="1"/>
    <x:col min="6" max="6" width="11.25" hidden="0" customWidth="1"/>
  </x:cols>
  <x:sheetData>
    <x:row r="1" ht="15" hidden="0" customHeight="1">
      <x:c r="A1" s="18" t="str">
        <x:v>SmartX Pharmacy Test Catalog Summary</x:v>
      </x:c>
      <x:c r="B1" s="18"/>
      <x:c r="C1" s="18"/>
      <x:c r="D1" s="18"/>
      <x:c r="E1" s="18"/>
      <x:c r="F1" s="18"/>
    </x:row>
    <x:row r="2" ht="15" hidden="0" customHeight="1">
      <x:c r="A2" s="18" t="str">
        <x:v>This workbook is import-ready for the first sheet. Unit prices are source-backed from Pakistan pharmacy listings; stock, barcode, batch, and expiry fields were generated for testing.</x:v>
      </x:c>
      <x:c r="B2" s="18"/>
      <x:c r="C2" s="18"/>
      <x:c r="D2" s="18"/>
      <x:c r="E2" s="18"/>
      <x:c r="F2" s="18"/>
    </x:row>
    <x:row r="3" ht="15" hidden="0" customHeight="1">
      <x:c r="A3" s="27"/>
      <x:c r="B3" s="27"/>
      <x:c r="C3" s="27"/>
      <x:c r="D3" s="27"/>
      <x:c r="E3" s="27"/>
      <x:c r="F3" s="27"/>
    </x:row>
    <x:row r="4" ht="15" hidden="0" customHeight="1">
      <x:c r="A4" s="28" t="str">
        <x:v>KPI</x:v>
      </x:c>
      <x:c r="B4" s="28" t="str">
        <x:v>Value</x:v>
      </x:c>
      <x:c r="C4" s="27"/>
      <x:c r="D4" s="28" t="str">
        <x:v>Category</x:v>
      </x:c>
      <x:c r="E4" s="28" t="str">
        <x:v>SKU Count</x:v>
      </x:c>
      <x:c r="F4" s="28" t="str">
        <x:v>Retail Value</x:v>
      </x:c>
    </x:row>
    <x:row r="5" ht="15" hidden="0" customHeight="1">
      <x:c r="A5" s="29" t="str">
        <x:v>Total SKUs</x:v>
      </x:c>
      <x:c r="B5" s="29" t="n">
        <x:f>COUNTA('Inventory Import'!A2:A33)</x:f>
        <x:v>32</x:v>
      </x:c>
      <x:c r="C5" s="27"/>
      <x:c r="D5" s="29" t="str">
        <x:v>Pain &amp; Fever</x:v>
      </x:c>
      <x:c r="E5" s="29" t="n">
        <x:f>COUNTIF('Inventory Import'!C2:C33,"Pain &amp; Fever")</x:f>
        <x:v>7</x:v>
      </x:c>
      <x:c r="F5" s="30" t="n">
        <x:f>SUMIF('Inventory Import'!C2:C33,"Pain &amp; Fever",'Inventory Import'!U2:U33)</x:f>
        <x:v>12594.34</x:v>
      </x:c>
    </x:row>
    <x:row r="6" ht="15" hidden="0" customHeight="1">
      <x:c r="A6" s="29" t="str">
        <x:v>Total In-Hand Units</x:v>
      </x:c>
      <x:c r="B6" s="29" t="n">
        <x:f>SUM('Inventory Import'!F2:F33)</x:f>
        <x:v>563</x:v>
      </x:c>
      <x:c r="C6" s="27"/>
      <x:c r="D6" s="29" t="str">
        <x:v>Antibiotic</x:v>
      </x:c>
      <x:c r="E6" s="29" t="n">
        <x:f>COUNTIF('Inventory Import'!C2:C33,"Antibiotic")</x:f>
        <x:v>2</x:v>
      </x:c>
      <x:c r="F6" s="30" t="n">
        <x:f>SUMIF('Inventory Import'!C2:C33,"Antibiotic",'Inventory Import'!U2:U33)</x:f>
        <x:v>6854.95</x:v>
      </x:c>
    </x:row>
    <x:row r="7" ht="15" hidden="0" customHeight="1">
      <x:c r="A7" s="29" t="str">
        <x:v>Reserved Units</x:v>
      </x:c>
      <x:c r="B7" s="29" t="n">
        <x:f>SUM('Inventory Import'!G2:G33)</x:f>
        <x:v>40</x:v>
      </x:c>
      <x:c r="C7" s="27"/>
      <x:c r="D7" s="29" t="str">
        <x:v>Diabetes</x:v>
      </x:c>
      <x:c r="E7" s="29" t="n">
        <x:f>COUNTIF('Inventory Import'!C2:C33,"Diabetes")</x:f>
        <x:v>3</x:v>
      </x:c>
      <x:c r="F7" s="30" t="n">
        <x:f>SUMIF('Inventory Import'!C2:C33,"Diabetes",'Inventory Import'!U2:U33)</x:f>
        <x:v>14229.420000000002</x:v>
      </x:c>
    </x:row>
    <x:row r="8" ht="15" hidden="0" customHeight="1">
      <x:c r="A8" s="29" t="str">
        <x:v>Quick Sale Items</x:v>
      </x:c>
      <x:c r="B8" s="29" t="n">
        <x:f>COUNTIF('Inventory Import'!J2:J33,"Yes")</x:f>
        <x:v>31</x:v>
      </x:c>
      <x:c r="C8" s="27"/>
      <x:c r="D8" s="29" t="str">
        <x:v>Cardiology</x:v>
      </x:c>
      <x:c r="E8" s="29" t="n">
        <x:f>COUNTIF('Inventory Import'!C2:C33,"Cardiology")</x:f>
        <x:v>4</x:v>
      </x:c>
      <x:c r="F8" s="30" t="n">
        <x:f>SUMIF('Inventory Import'!C2:C33,"Cardiology",'Inventory Import'!U2:U33)</x:f>
        <x:v>22087.08</x:v>
      </x:c>
    </x:row>
    <x:row r="9" ht="15" hidden="0" customHeight="1">
      <x:c r="A9" s="29" t="str">
        <x:v>Retail Stock Value</x:v>
      </x:c>
      <x:c r="B9" s="30" t="n">
        <x:f>SUM('Inventory Import'!U2:U33)</x:f>
        <x:v>95868.03</x:v>
      </x:c>
      <x:c r="C9" s="27"/>
      <x:c r="D9" s="29" t="str">
        <x:v>Gastrointestinal</x:v>
      </x:c>
      <x:c r="E9" s="29" t="n">
        <x:f>COUNTIF('Inventory Import'!C2:C33,"Gastrointestinal")</x:f>
        <x:v>3</x:v>
      </x:c>
      <x:c r="F9" s="30" t="n">
        <x:f>SUMIF('Inventory Import'!C2:C33,"Gastrointestinal",'Inventory Import'!U2:U33)</x:f>
        <x:v>5839.16</x:v>
      </x:c>
    </x:row>
    <x:row r="10" ht="15" hidden="0" customHeight="1">
      <x:c r="A10" s="27"/>
      <x:c r="B10" s="27"/>
      <x:c r="C10" s="27"/>
      <x:c r="D10" s="29" t="str">
        <x:v>Respiratory</x:v>
      </x:c>
      <x:c r="E10" s="29" t="n">
        <x:f>COUNTIF('Inventory Import'!C2:C33,"Respiratory")</x:f>
        <x:v>3</x:v>
      </x:c>
      <x:c r="F10" s="30" t="n">
        <x:f>SUMIF('Inventory Import'!C2:C33,"Respiratory",'Inventory Import'!U2:U33)</x:f>
        <x:v>8771.74</x:v>
      </x:c>
    </x:row>
    <x:row r="11" ht="15" hidden="0" customHeight="1">
      <x:c r="A11" s="31" t="str">
        <x:v>Testing Notes</x:v>
      </x:c>
      <x:c r="B11" s="27"/>
      <x:c r="C11" s="27"/>
      <x:c r="D11" s="29" t="str">
        <x:v>Vitamins &amp; Supplements</x:v>
      </x:c>
      <x:c r="E11" s="29" t="n">
        <x:f>COUNTIF('Inventory Import'!C2:C33,"Vitamins &amp; Supplements")</x:f>
        <x:v>3</x:v>
      </x:c>
      <x:c r="F11" s="30" t="n">
        <x:f>SUMIF('Inventory Import'!C2:C33,"Vitamins &amp; Supplements",'Inventory Import'!U2:U33)</x:f>
        <x:v>15183.75</x:v>
      </x:c>
    </x:row>
    <x:row r="12" ht="15" hidden="0" customHeight="1">
      <x:c r="A12" s="32" t="str">
        <x:v>1</x:v>
      </x:c>
      <x:c r="B12" s="32" t="str">
        <x:v>First worksheet remains the import worksheet because the API reads the first sheet in the uploaded xlsx.</x:v>
      </x:c>
      <x:c r="C12" s="27"/>
      <x:c r="D12" s="29" t="str">
        <x:v>Cough &amp; Cold</x:v>
      </x:c>
      <x:c r="E12" s="29" t="n">
        <x:f>COUNTIF('Inventory Import'!C2:C33,"Cough &amp; Cold")</x:f>
        <x:v>3</x:v>
      </x:c>
      <x:c r="F12" s="30" t="n">
        <x:f>SUMIF('Inventory Import'!C2:C33,"Cough &amp; Cold",'Inventory Import'!U2:U33)</x:f>
        <x:v>5613.32</x:v>
      </x:c>
    </x:row>
    <x:row r="13" ht="15" hidden="0" customHeight="1">
      <x:c r="A13" s="32" t="str">
        <x:v>2</x:v>
      </x:c>
      <x:c r="B13" s="32" t="str">
        <x:v>Operational fields like stock, batch, barcode, and expiry are intentionally synthetic to make testing realistic.</x:v>
      </x:c>
      <x:c r="C13" s="27"/>
      <x:c r="D13" s="29" t="str">
        <x:v>Antacid</x:v>
      </x:c>
      <x:c r="E13" s="29" t="n">
        <x:f>COUNTIF('Inventory Import'!C2:C33,"Antacid")</x:f>
        <x:v>1</x:v>
      </x:c>
      <x:c r="F13" s="30" t="n">
        <x:f>SUMIF('Inventory Import'!C2:C33,"Antacid",'Inventory Import'!U2:U33)</x:f>
        <x:v>510</x:v>
      </x:c>
    </x:row>
    <x:row r="14" ht="15" hidden="0" customHeight="1">
      <x:c r="A14" s="32" t="str">
        <x:v>3</x:v>
      </x:c>
      <x:c r="B14" s="32" t="str">
        <x:v>Recheck prescription medicine prices before any production rollout because pharmacy prices can change.</x:v>
      </x:c>
      <x:c r="C14" s="27"/>
      <x:c r="D14" s="29" t="str">
        <x:v>Antiviral</x:v>
      </x:c>
      <x:c r="E14" s="29" t="n">
        <x:f>COUNTIF('Inventory Import'!C2:C33,"Antiviral")</x:f>
        <x:v>1</x:v>
      </x:c>
      <x:c r="F14" s="30" t="n">
        <x:f>SUMIF('Inventory Import'!C2:C33,"Antiviral",'Inventory Import'!U2:U33)</x:f>
        <x:v>810</x:v>
      </x:c>
    </x:row>
  </x:sheetData>
  <x:mergeCells>
    <x:mergeCell ref="A1:F1"/>
    <x:mergeCell ref="A2:F2"/>
    <x:mergeCell ref="A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4" hidden="0" customWidth="1"/>
    <x:col min="3" max="3" width="32" hidden="0" customWidth="1"/>
    <x:col min="4" max="4" width="28" hidden="0" customWidth="1"/>
    <x:col min="5" max="5" width="40" hidden="0" customWidth="1"/>
  </x:cols>
  <x:sheetData>
    <x:row r="1" ht="15" hidden="0" customHeight="1">
      <x:c r="A1" s="35" t="str">
        <x:v>Source URL</x:v>
      </x:c>
      <x:c r="B1" s="35" t="str">
        <x:v>Coverage</x:v>
      </x:c>
      <x:c r="C1" s="35" t="str">
        <x:v>What is source-backed</x:v>
      </x:c>
      <x:c r="D1" s="35" t="str">
        <x:v>Freshness note</x:v>
      </x:c>
      <x:c r="E1" s="35" t="str">
        <x:v>Operational note</x:v>
      </x:c>
    </x:row>
    <x:row r="2" ht="26.399999618530273" hidden="0" customHeight="1">
      <x:c r="A2" s="37" t="str">
        <x:v>https://sehat.com.pk/products/Panadol-Tab-500mg-10%27s.html</x:v>
      </x:c>
      <x:c r="B2" s="36" t="str">
        <x:v>Single-product detail page</x:v>
      </x:c>
      <x:c r="C2" s="36" t="str">
        <x:v>Product name, pack size, manufacturer, and listed retail price</x:v>
      </x:c>
      <x:c r="D2" s="36" t="str">
        <x:v>Search snippet crawled about 2 weeks before 2026-08-25</x:v>
      </x:c>
      <x:c r="E2" s="36" t="str">
        <x:v>Use listed price as a testing reference; verify again before live billing.</x:v>
      </x:c>
    </x:row>
    <x:row r="3" ht="26.399999618530273" hidden="0" customHeight="1">
      <x:c r="A3" s="37" t="str">
        <x:v>https://sehat.com.pk/products/Panadol-Extend-Tab-665mg-20%27s.html</x:v>
      </x:c>
      <x:c r="B3" s="36" t="str">
        <x:v>Single-product detail page</x:v>
      </x:c>
      <x:c r="C3" s="36" t="str">
        <x:v>Product name, pack size, manufacturer, and listed retail price</x:v>
      </x:c>
      <x:c r="D3" s="36" t="str">
        <x:v>Search snippet crawled about 3 weeks before 2026-08-25</x:v>
      </x:c>
      <x:c r="E3" s="36" t="str">
        <x:v>Price field is source-backed; stock and batch fields are synthetic.</x:v>
      </x:c>
    </x:row>
    <x:row r="4" ht="26.399999618530273" hidden="0" customHeight="1">
      <x:c r="A4" s="37" t="str">
        <x:v>https://sehat.com.pk/manufacturers/GSK-Consumer-Healthcare.html</x:v>
      </x:c>
      <x:c r="B4" s="36" t="str">
        <x:v>Manufacturer listing page</x:v>
      </x:c>
      <x:c r="C4" s="36" t="str">
        <x:v>List price for Panadol Forte Susp 90ml and other GSK OTC items</x:v>
      </x:c>
      <x:c r="D4" s="36" t="str">
        <x:v>Search snippet crawled about 2 months before 2026-08-25</x:v>
      </x:c>
      <x:c r="E4" s="36" t="str">
        <x:v>Use as catalog-testing data, not a final procurement quote.</x:v>
      </x:c>
    </x:row>
    <x:row r="5" ht="26.399999618530273" hidden="0" customHeight="1">
      <x:c r="A5" s="37" t="str">
        <x:v>https://sehat.com.pk/manufacturers/GSK-Consumer-Healthcare.html?page=5</x:v>
      </x:c>
      <x:c r="B5" s="36" t="str">
        <x:v>Manufacturer listing page</x:v>
      </x:c>
      <x:c r="C5" s="36" t="str">
        <x:v>List price for Panadol Liq 160mg 120ml</x:v>
      </x:c>
      <x:c r="D5" s="36" t="str">
        <x:v>Search snippet crawled about 4 months before 2026-08-25</x:v>
      </x:c>
      <x:c r="E5" s="36" t="str">
        <x:v>Pricing may shift over time; re-check on deployment day.</x:v>
      </x:c>
    </x:row>
    <x:row r="6" ht="26.399999618530273" hidden="0" customHeight="1">
      <x:c r="A6" s="37" t="str">
        <x:v>https://sehat.com.pk/manufacturers/Pfizer-Pakistan-.html</x:v>
      </x:c>
      <x:c r="B6" s="36" t="str">
        <x:v>Manufacturer listing page</x:v>
      </x:c>
      <x:c r="C6" s="36" t="str">
        <x:v>List prices for Ponstan, Norvasc, and Zetamax rows</x:v>
      </x:c>
      <x:c r="D6" s="36" t="str">
        <x:v>Search snippet crawled about 1 month before 2026-08-25</x:v>
      </x:c>
      <x:c r="E6" s="36" t="str">
        <x:v>Retail price was kept real; warehouse quantities were generated for testing.</x:v>
      </x:c>
    </x:row>
    <x:row r="7" ht="26.399999618530273" hidden="0" customHeight="1">
      <x:c r="A7" s="37" t="str">
        <x:v>https://sehat.com.pk/categories/Prescription-Drugs-/Lungs/?page=3</x:v>
      </x:c>
      <x:c r="B7" s="36" t="str">
        <x:v>Category listing page</x:v>
      </x:c>
      <x:c r="C7" s="36" t="str">
        <x:v>List prices for Ventolin syrup and expectorant rows</x:v>
      </x:c>
      <x:c r="D7" s="36" t="str">
        <x:v>Search snippet crawled about 2 months before 2026-08-25</x:v>
      </x:c>
      <x:c r="E7" s="36" t="str">
        <x:v>Respiratory items are suitable for POS workflow testing only.</x:v>
      </x:c>
    </x:row>
    <x:row r="8" ht="26.399999618530273" hidden="0" customHeight="1">
      <x:c r="A8" s="37" t="str">
        <x:v>https://sehat.com.pk/categories/Prescription-Drugs-/Diabetes/Oral-anti%252ddiabetics/Biguanides/</x:v>
      </x:c>
      <x:c r="B8" s="36" t="str">
        <x:v>Category listing page</x:v>
      </x:c>
      <x:c r="C8" s="36" t="str">
        <x:v>List price for Glucophage XR 750mg 3x10's</x:v>
      </x:c>
      <x:c r="D8" s="36" t="str">
        <x:v>Search snippet crawled about 3 weeks before 2026-08-25</x:v>
      </x:c>
      <x:c r="E8" s="36" t="str">
        <x:v>Operational columns were normalized for app import.</x:v>
      </x:c>
    </x:row>
    <x:row r="9" ht="26.399999618530273" hidden="0" customHeight="1">
      <x:c r="A9" s="37" t="str">
        <x:v>https://sehat.com.pk/categories/Prescription-Drugs-/Gastrointestinal-disorders-/Anti%252ddiarrheal/</x:v>
      </x:c>
      <x:c r="B9" s="36" t="str">
        <x:v>Category listing page</x:v>
      </x:c>
      <x:c r="C9" s="36" t="str">
        <x:v>List price for Diatazox Tab 500mg 20's</x:v>
      </x:c>
      <x:c r="D9" s="36" t="str">
        <x:v>Search snippet crawled about 3 weeks before 2026-08-25</x:v>
      </x:c>
      <x:c r="E9" s="36" t="str">
        <x:v>Keep source URL in workbook when importing or sharing.</x:v>
      </x:c>
    </x:row>
    <x:row r="10" ht="26.399999618530273" hidden="0" customHeight="1">
      <x:c r="A10" s="37" t="str">
        <x:v>https://sehat.com.pk/categories/Prescription-Drugs-/Infections/Viral-infections/</x:v>
      </x:c>
      <x:c r="B10" s="36" t="str">
        <x:v>Category listing page</x:v>
      </x:c>
      <x:c r="C10" s="36" t="str">
        <x:v>List price for C-Nil Cap 400mg 10's</x:v>
      </x:c>
      <x:c r="D10" s="36" t="str">
        <x:v>Search snippet crawled about 9 months before 2026-08-25</x:v>
      </x:c>
      <x:c r="E10" s="36" t="str">
        <x:v>This is the oldest source in the workbook and should be rechecked first.</x:v>
      </x:c>
    </x:row>
  </x:sheetData>
  <x:pageMargins left="0.7" right="0.7" top="0.75" bottom="0.75" header="0.3" footer="0.3"/>
</x:worksheet>
</file>